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Name" sheetId="1" r:id="rId4"/>
  </sheets>
  <definedNames>
    <definedName name="Основные_составляющие_проекта__действия___подпроекты">#REF!</definedName>
  </definedNames>
  <calcPr/>
  <extLst>
    <ext uri="GoogleSheetsCustomDataVersion2">
      <go:sheetsCustomData xmlns:go="http://customooxmlschemas.google.com/" r:id="rId5" roundtripDataChecksum="BuBLXLp1pNk6N6Ijf10V9ogqddaCaulHUDBFEnFNAPY="/>
    </ext>
  </extLst>
</workbook>
</file>

<file path=xl/sharedStrings.xml><?xml version="1.0" encoding="utf-8"?>
<sst xmlns="http://schemas.openxmlformats.org/spreadsheetml/2006/main" count="56" uniqueCount="48">
  <si>
    <t>BRIEF INFORMATION</t>
  </si>
  <si>
    <t>Project ID:</t>
  </si>
  <si>
    <t>Client Name:</t>
  </si>
  <si>
    <t>Project Address:</t>
  </si>
  <si>
    <t>Phone:</t>
  </si>
  <si>
    <t>Email:</t>
  </si>
  <si>
    <t>Stage of Property:</t>
  </si>
  <si>
    <t>Budget:</t>
  </si>
  <si>
    <t>Number of Zones:</t>
  </si>
  <si>
    <t>Deadline:</t>
  </si>
  <si>
    <t>Designer Access:</t>
  </si>
  <si>
    <t>Manager Notes:</t>
  </si>
  <si>
    <t>Project Manager:</t>
  </si>
  <si>
    <t>Manager’s contact:</t>
  </si>
  <si>
    <t>DETAILED PROJECT ESTIMATE</t>
  </si>
  <si>
    <t>Zone Name</t>
  </si>
  <si>
    <t>Design Description</t>
  </si>
  <si>
    <t>Specification Included</t>
  </si>
  <si>
    <t>Material Code</t>
  </si>
  <si>
    <t>Unit</t>
  </si>
  <si>
    <t>Unit Price</t>
  </si>
  <si>
    <t>Quantity</t>
  </si>
  <si>
    <t>Total Cost</t>
  </si>
  <si>
    <t>Expense limit</t>
  </si>
  <si>
    <t>Description</t>
  </si>
  <si>
    <t>Price/Rate</t>
  </si>
  <si>
    <t>Quantity/hours</t>
  </si>
  <si>
    <t>Total Planned Cost</t>
  </si>
  <si>
    <t>Fact</t>
  </si>
  <si>
    <t>Comments / Contractor</t>
  </si>
  <si>
    <t>Zone 1 - Name</t>
  </si>
  <si>
    <t>Materials</t>
  </si>
  <si>
    <t>Drafting / Technical Drawings</t>
  </si>
  <si>
    <t>Production Labor</t>
  </si>
  <si>
    <t>Installer Labor</t>
  </si>
  <si>
    <t>Logistics</t>
  </si>
  <si>
    <t>Others</t>
  </si>
  <si>
    <t>TOTAL per Zone</t>
  </si>
  <si>
    <t>Zone 2 - Name</t>
  </si>
  <si>
    <t>Zone 3 - Name</t>
  </si>
  <si>
    <t>Zone 4 - Name</t>
  </si>
  <si>
    <t>Zone 5 - Name</t>
  </si>
  <si>
    <t>Planned</t>
  </si>
  <si>
    <t>Variance $</t>
  </si>
  <si>
    <t>Variance %</t>
  </si>
  <si>
    <t>TOTAL Estimate</t>
  </si>
  <si>
    <t>Profability, $</t>
  </si>
  <si>
    <t>Profability,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</si>
</sst>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-409]#,##0"/>
    <numFmt numFmtId="165" formatCode="[$-409]#,##0.0"/>
    <numFmt numFmtId="166" formatCode="#"/>
    <numFmt numFmtId="167" formatCode="#,#00"/>
    <numFmt numFmtId="168" formatCode="&quot;$&quot;#,##0.0"/>
    <numFmt numFmtId="169" formatCode="&quot;$&quot;#,##0.00"/>
    <numFmt numFmtId="170" formatCode="0.0%"/>
    <numFmt numFmtId="171" formatCode="\$#,##0;[Red]&quot;($&quot;#,##0\);\-"/>
    <numFmt numFmtId="172" formatCode="0.0%;[Red]\(0.0%\);\-"/>
  </numFmts>
  <fonts count="23">
    <font>
      <sz val="11.0"/>
      <color theme="1"/>
      <name val="Calibri"/>
      <scheme val="minor"/>
    </font>
    <font>
      <b/>
      <sz val="11.0"/>
      <color theme="1"/>
      <name val="Calibri"/>
    </font>
    <font>
      <b/>
      <sz val="15.0"/>
      <color theme="1"/>
      <name val="Arial"/>
    </font>
    <font/>
    <font>
      <sz val="11.0"/>
      <color theme="1"/>
      <name val="Calibri"/>
    </font>
    <font>
      <sz val="11.0"/>
      <color rgb="FFC9211E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7030A0"/>
      <name val="Calibri"/>
    </font>
    <font>
      <b/>
      <sz val="11.0"/>
      <color rgb="FFC9211E"/>
      <name val="Arial"/>
    </font>
    <font>
      <b/>
      <sz val="11.0"/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C9211E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13.0"/>
      <color theme="1"/>
      <name val="Calibri"/>
    </font>
    <font>
      <color theme="1"/>
      <name val="Calibri"/>
      <scheme val="minor"/>
    </font>
    <font>
      <b/>
      <sz val="15.0"/>
      <color theme="1"/>
      <name val="Calibri"/>
    </font>
    <font>
      <b/>
      <sz val="12.0"/>
      <color rgb="FF000000"/>
      <name val="Calibri"/>
    </font>
    <font>
      <b/>
      <sz val="12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4C7DC"/>
        <bgColor rgb="FFB4C7DC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FFFFA6"/>
        <bgColor rgb="FFFFFFA6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FD095"/>
        <bgColor rgb="FFAFD095"/>
      </patternFill>
    </fill>
    <fill>
      <patternFill patternType="solid">
        <fgColor rgb="FFD8D8D8"/>
        <bgColor rgb="FFD8D8D8"/>
      </patternFill>
    </fill>
  </fills>
  <borders count="4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1" shrinkToFit="0" vertical="center" wrapText="1"/>
    </xf>
    <xf borderId="1" fillId="2" fontId="2" numFmtId="49" xfId="0" applyAlignment="1" applyBorder="1" applyFill="1" applyFont="1" applyNumberForma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164" xfId="0" applyAlignment="1" applyFont="1" applyNumberFormat="1">
      <alignment horizontal="center" readingOrder="1" vertical="top"/>
    </xf>
    <xf borderId="0" fillId="0" fontId="1" numFmtId="164" xfId="0" applyAlignment="1" applyFont="1" applyNumberFormat="1">
      <alignment horizontal="left" readingOrder="1" vertical="top"/>
    </xf>
    <xf borderId="0" fillId="0" fontId="4" numFmtId="165" xfId="0" applyAlignment="1" applyFont="1" applyNumberFormat="1">
      <alignment horizontal="left" readingOrder="1" shrinkToFit="0" wrapText="1"/>
    </xf>
    <xf borderId="0" fillId="0" fontId="4" numFmtId="165" xfId="0" applyAlignment="1" applyFont="1" applyNumberFormat="1">
      <alignment horizontal="left" readingOrder="1"/>
    </xf>
    <xf borderId="0" fillId="0" fontId="4" numFmtId="166" xfId="0" applyAlignment="1" applyFont="1" applyNumberFormat="1">
      <alignment horizontal="center" readingOrder="1" vertical="center"/>
    </xf>
    <xf borderId="0" fillId="0" fontId="4" numFmtId="167" xfId="0" applyAlignment="1" applyFont="1" applyNumberFormat="1">
      <alignment horizontal="center" readingOrder="1" vertical="center"/>
    </xf>
    <xf borderId="0" fillId="0" fontId="4" numFmtId="0" xfId="0" applyFont="1"/>
    <xf borderId="0" fillId="0" fontId="1" numFmtId="49" xfId="0" applyAlignment="1" applyFont="1" applyNumberFormat="1">
      <alignment horizontal="left" readingOrder="1" shrinkToFit="0" vertical="center" wrapText="1"/>
    </xf>
    <xf borderId="4" fillId="0" fontId="1" numFmtId="49" xfId="0" applyAlignment="1" applyBorder="1" applyFont="1" applyNumberFormat="1">
      <alignment horizontal="left" readingOrder="1" shrinkToFit="0" vertical="center" wrapText="1"/>
    </xf>
    <xf borderId="5" fillId="0" fontId="5" numFmtId="49" xfId="0" applyAlignment="1" applyBorder="1" applyFont="1" applyNumberForma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0" fontId="1" numFmtId="49" xfId="0" applyAlignment="1" applyFont="1" applyNumberFormat="1">
      <alignment horizontal="left" readingOrder="1" shrinkToFit="0" wrapText="1"/>
    </xf>
    <xf borderId="4" fillId="0" fontId="1" numFmtId="49" xfId="0" applyAlignment="1" applyBorder="1" applyFont="1" applyNumberFormat="1">
      <alignment horizontal="left" readingOrder="1" shrinkToFit="0" wrapText="1"/>
    </xf>
    <xf borderId="5" fillId="0" fontId="6" numFmtId="49" xfId="0" applyAlignment="1" applyBorder="1" applyFont="1" applyNumberFormat="1">
      <alignment horizontal="left" readingOrder="1" shrinkToFit="0" wrapText="1"/>
    </xf>
    <xf borderId="0" fillId="0" fontId="1" numFmtId="164" xfId="0" applyAlignment="1" applyFont="1" applyNumberFormat="1">
      <alignment horizontal="left" readingOrder="1" shrinkToFit="0" vertical="top" wrapText="1"/>
    </xf>
    <xf borderId="5" fillId="0" fontId="7" numFmtId="49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readingOrder="1" shrinkToFit="0" vertical="center" wrapText="1"/>
    </xf>
    <xf borderId="0" fillId="0" fontId="8" numFmtId="165" xfId="0" applyAlignment="1" applyFont="1" applyNumberFormat="1">
      <alignment horizontal="left" readingOrder="1" vertical="center"/>
    </xf>
    <xf borderId="0" fillId="0" fontId="1" numFmtId="166" xfId="0" applyAlignment="1" applyFont="1" applyNumberFormat="1">
      <alignment horizontal="center" readingOrder="1" vertical="center"/>
    </xf>
    <xf borderId="0" fillId="0" fontId="1" numFmtId="167" xfId="0" applyAlignment="1" applyFont="1" applyNumberFormat="1">
      <alignment horizontal="center" readingOrder="1" vertical="center"/>
    </xf>
    <xf borderId="0" fillId="0" fontId="4" numFmtId="164" xfId="0" applyAlignment="1" applyFont="1" applyNumberFormat="1">
      <alignment horizontal="left" readingOrder="1" shrinkToFit="0" vertical="center" wrapText="1"/>
    </xf>
    <xf borderId="0" fillId="0" fontId="8" numFmtId="165" xfId="0" applyAlignment="1" applyFont="1" applyNumberFormat="1">
      <alignment horizontal="left" readingOrder="1" shrinkToFit="0" vertical="center" wrapText="1"/>
    </xf>
    <xf borderId="5" fillId="0" fontId="6" numFmtId="49" xfId="0" applyAlignment="1" applyBorder="1" applyFont="1" applyNumberFormat="1">
      <alignment horizontal="left" readingOrder="1" shrinkToFit="0" vertical="center" wrapText="1"/>
    </xf>
    <xf borderId="0" fillId="0" fontId="1" numFmtId="0" xfId="0" applyFont="1"/>
    <xf borderId="4" fillId="0" fontId="1" numFmtId="0" xfId="0" applyBorder="1" applyFont="1"/>
    <xf borderId="5" fillId="0" fontId="6" numFmtId="49" xfId="0" applyAlignment="1" applyBorder="1" applyFont="1" applyNumberFormat="1">
      <alignment horizontal="left" shrinkToFit="0" vertical="center" wrapText="1"/>
    </xf>
    <xf borderId="8" fillId="0" fontId="1" numFmtId="49" xfId="0" applyAlignment="1" applyBorder="1" applyFont="1" applyNumberFormat="1">
      <alignment horizontal="left" readingOrder="1" shrinkToFit="0" vertical="center" wrapText="1"/>
    </xf>
    <xf borderId="9" fillId="0" fontId="6" numFmtId="49" xfId="0" applyAlignment="1" applyBorder="1" applyFont="1" applyNumberFormat="1">
      <alignment horizontal="left" readingOrder="1" shrinkToFit="0" vertical="center" wrapText="1"/>
    </xf>
    <xf borderId="10" fillId="0" fontId="3" numFmtId="0" xfId="0" applyBorder="1" applyFont="1"/>
    <xf borderId="11" fillId="0" fontId="3" numFmtId="0" xfId="0" applyBorder="1" applyFont="1"/>
    <xf borderId="0" fillId="0" fontId="9" numFmtId="49" xfId="0" applyAlignment="1" applyFont="1" applyNumberFormat="1">
      <alignment horizontal="left" readingOrder="1" shrinkToFit="0" vertical="center" wrapText="1"/>
    </xf>
    <xf borderId="0" fillId="0" fontId="8" numFmtId="49" xfId="0" applyAlignment="1" applyFont="1" applyNumberFormat="1">
      <alignment horizontal="left" readingOrder="1" vertical="center"/>
    </xf>
    <xf borderId="0" fillId="0" fontId="1" numFmtId="0" xfId="0" applyAlignment="1" applyFont="1">
      <alignment horizontal="center" readingOrder="1" vertical="center"/>
    </xf>
    <xf borderId="0" fillId="0" fontId="10" numFmtId="49" xfId="0" applyAlignment="1" applyFont="1" applyNumberFormat="1">
      <alignment horizontal="left" readingOrder="1" shrinkToFit="0" vertical="center" wrapText="1"/>
    </xf>
    <xf borderId="0" fillId="0" fontId="10" numFmtId="49" xfId="0" applyAlignment="1" applyFont="1" applyNumberFormat="1">
      <alignment horizontal="center" readingOrder="1" shrinkToFit="0" vertical="center" wrapText="1"/>
    </xf>
    <xf borderId="1" fillId="0" fontId="2" numFmtId="49" xfId="0" applyAlignment="1" applyBorder="1" applyFont="1" applyNumberFormat="1">
      <alignment horizontal="center" readingOrder="1" shrinkToFit="0" vertical="center" wrapText="1"/>
    </xf>
    <xf borderId="12" fillId="0" fontId="10" numFmtId="49" xfId="0" applyAlignment="1" applyBorder="1" applyFont="1" applyNumberFormat="1">
      <alignment horizontal="center" readingOrder="1" shrinkToFit="0" vertical="center" wrapText="1"/>
    </xf>
    <xf borderId="9" fillId="0" fontId="10" numFmtId="49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0" fillId="0" fontId="1" numFmtId="0" xfId="0" applyAlignment="1" applyFont="1">
      <alignment horizontal="left" readingOrder="1" shrinkToFit="0" vertical="center" wrapText="1"/>
    </xf>
    <xf borderId="14" fillId="3" fontId="1" numFmtId="0" xfId="0" applyAlignment="1" applyBorder="1" applyFill="1" applyFont="1">
      <alignment horizontal="left" readingOrder="1" shrinkToFit="0" vertical="center" wrapText="1"/>
    </xf>
    <xf borderId="15" fillId="3" fontId="10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horizontal="center" readingOrder="1" shrinkToFit="0" vertical="center" wrapText="1"/>
    </xf>
    <xf borderId="15" fillId="3" fontId="1" numFmtId="165" xfId="0" applyAlignment="1" applyBorder="1" applyFont="1" applyNumberFormat="1">
      <alignment horizontal="center" readingOrder="1" shrinkToFit="0" vertical="center" wrapText="1"/>
    </xf>
    <xf borderId="16" fillId="3" fontId="1" numFmtId="164" xfId="0" applyAlignment="1" applyBorder="1" applyFont="1" applyNumberFormat="1">
      <alignment horizontal="center" readingOrder="1" shrinkToFit="0" vertical="center" wrapText="1"/>
    </xf>
    <xf borderId="17" fillId="4" fontId="1" numFmtId="164" xfId="0" applyAlignment="1" applyBorder="1" applyFill="1" applyFont="1" applyNumberFormat="1">
      <alignment horizontal="center" readingOrder="1" shrinkToFit="0" vertical="center" wrapText="1"/>
    </xf>
    <xf borderId="18" fillId="5" fontId="1" numFmtId="165" xfId="0" applyAlignment="1" applyBorder="1" applyFill="1" applyFont="1" applyNumberFormat="1">
      <alignment horizontal="left" readingOrder="1" shrinkToFit="0" vertical="center" wrapText="1"/>
    </xf>
    <xf borderId="19" fillId="5" fontId="1" numFmtId="165" xfId="0" applyAlignment="1" applyBorder="1" applyFont="1" applyNumberFormat="1">
      <alignment horizontal="center" readingOrder="1" shrinkToFit="0" vertical="center" wrapText="1"/>
    </xf>
    <xf borderId="20" fillId="5" fontId="1" numFmtId="165" xfId="0" applyAlignment="1" applyBorder="1" applyFont="1" applyNumberFormat="1">
      <alignment horizontal="center" readingOrder="1" shrinkToFit="0" vertical="center" wrapText="1"/>
    </xf>
    <xf borderId="20" fillId="5" fontId="1" numFmtId="166" xfId="0" applyAlignment="1" applyBorder="1" applyFont="1" applyNumberFormat="1">
      <alignment horizontal="center" readingOrder="1" shrinkToFit="0" vertical="center" wrapText="1"/>
    </xf>
    <xf borderId="20" fillId="5" fontId="1" numFmtId="167" xfId="0" applyAlignment="1" applyBorder="1" applyFont="1" applyNumberFormat="1">
      <alignment horizontal="center" readingOrder="1" shrinkToFit="0" vertical="center" wrapText="1"/>
    </xf>
    <xf borderId="21" fillId="5" fontId="1" numFmtId="167" xfId="0" applyAlignment="1" applyBorder="1" applyFont="1" applyNumberFormat="1">
      <alignment horizontal="center" readingOrder="1" shrinkToFit="0" vertical="center" wrapText="1"/>
    </xf>
    <xf borderId="22" fillId="5" fontId="1" numFmtId="164" xfId="0" applyAlignment="1" applyBorder="1" applyFont="1" applyNumberFormat="1">
      <alignment horizontal="center" readingOrder="1" shrinkToFit="0" vertical="center" wrapText="1"/>
    </xf>
    <xf borderId="0" fillId="0" fontId="4" numFmtId="0" xfId="0" applyAlignment="1" applyFont="1">
      <alignment shrinkToFit="0" wrapText="1"/>
    </xf>
    <xf borderId="0" fillId="0" fontId="1" numFmtId="16" xfId="0" applyAlignment="1" applyFont="1" applyNumberFormat="1">
      <alignment horizontal="left" readingOrder="1" shrinkToFit="0" vertical="center" wrapText="1"/>
    </xf>
    <xf borderId="23" fillId="6" fontId="1" numFmtId="0" xfId="0" applyAlignment="1" applyBorder="1" applyFill="1" applyFont="1">
      <alignment horizontal="left" readingOrder="1" shrinkToFit="0" vertical="center" wrapText="1"/>
    </xf>
    <xf borderId="24" fillId="6" fontId="10" numFmtId="0" xfId="0" applyAlignment="1" applyBorder="1" applyFont="1">
      <alignment shrinkToFit="0" vertical="center" wrapText="1"/>
    </xf>
    <xf borderId="24" fillId="6" fontId="1" numFmtId="0" xfId="0" applyAlignment="1" applyBorder="1" applyFont="1">
      <alignment shrinkToFit="0" vertical="center" wrapText="1"/>
    </xf>
    <xf borderId="24" fillId="6" fontId="1" numFmtId="165" xfId="0" applyAlignment="1" applyBorder="1" applyFont="1" applyNumberFormat="1">
      <alignment shrinkToFit="0" vertical="center" wrapText="1"/>
    </xf>
    <xf borderId="24" fillId="6" fontId="1" numFmtId="0" xfId="0" applyAlignment="1" applyBorder="1" applyFont="1">
      <alignment horizontal="center" shrinkToFit="0" vertical="center" wrapText="1"/>
    </xf>
    <xf borderId="25" fillId="6" fontId="1" numFmtId="168" xfId="0" applyAlignment="1" applyBorder="1" applyFont="1" applyNumberFormat="1">
      <alignment horizontal="center" shrinkToFit="0" vertical="center" wrapText="1"/>
    </xf>
    <xf borderId="26" fillId="7" fontId="1" numFmtId="164" xfId="0" applyAlignment="1" applyBorder="1" applyFill="1" applyFont="1" applyNumberFormat="1">
      <alignment horizontal="center" shrinkToFit="0" vertical="center" wrapText="1"/>
    </xf>
    <xf borderId="27" fillId="6" fontId="10" numFmtId="0" xfId="0" applyAlignment="1" applyBorder="1" applyFont="1">
      <alignment horizontal="left" shrinkToFit="0" vertical="center" wrapText="1"/>
    </xf>
    <xf borderId="28" fillId="6" fontId="1" numFmtId="165" xfId="0" applyAlignment="1" applyBorder="1" applyFont="1" applyNumberFormat="1">
      <alignment horizontal="center" shrinkToFit="0" vertical="center" wrapText="1"/>
    </xf>
    <xf borderId="29" fillId="6" fontId="1" numFmtId="165" xfId="0" applyAlignment="1" applyBorder="1" applyFont="1" applyNumberFormat="1">
      <alignment horizontal="center" shrinkToFit="0" vertical="center" wrapText="1"/>
    </xf>
    <xf borderId="29" fillId="6" fontId="1" numFmtId="165" xfId="0" applyAlignment="1" applyBorder="1" applyFont="1" applyNumberFormat="1">
      <alignment shrinkToFit="0" vertical="center" wrapText="1"/>
    </xf>
    <xf borderId="29" fillId="6" fontId="1" numFmtId="168" xfId="0" applyAlignment="1" applyBorder="1" applyFont="1" applyNumberFormat="1">
      <alignment shrinkToFit="0" vertical="center" wrapText="1"/>
    </xf>
    <xf borderId="30" fillId="6" fontId="1" numFmtId="165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left" readingOrder="1" shrinkToFit="0" wrapText="1"/>
    </xf>
    <xf borderId="0" fillId="0" fontId="4" numFmtId="49" xfId="0" applyAlignment="1" applyFont="1" applyNumberFormat="1">
      <alignment horizontal="left" readingOrder="1" shrinkToFit="0" vertical="center" wrapText="1"/>
    </xf>
    <xf borderId="31" fillId="0" fontId="11" numFmtId="0" xfId="0" applyAlignment="1" applyBorder="1" applyFont="1">
      <alignment horizontal="left" shrinkToFit="0" vertical="center" wrapText="1"/>
    </xf>
    <xf borderId="31" fillId="0" fontId="1" numFmtId="49" xfId="0" applyAlignment="1" applyBorder="1" applyFont="1" applyNumberFormat="1">
      <alignment horizontal="left" readingOrder="1" shrinkToFit="0" vertical="center" wrapText="1"/>
    </xf>
    <xf borderId="31" fillId="0" fontId="4" numFmtId="49" xfId="0" applyAlignment="1" applyBorder="1" applyFont="1" applyNumberFormat="1">
      <alignment horizontal="left" readingOrder="1" shrinkToFit="0" vertical="center" wrapText="1"/>
    </xf>
    <xf borderId="31" fillId="0" fontId="4" numFmtId="49" xfId="0" applyAlignment="1" applyBorder="1" applyFont="1" applyNumberFormat="1">
      <alignment horizontal="center" readingOrder="1" shrinkToFit="0" vertical="center" wrapText="1"/>
    </xf>
    <xf borderId="31" fillId="0" fontId="4" numFmtId="165" xfId="0" applyAlignment="1" applyBorder="1" applyFont="1" applyNumberFormat="1">
      <alignment horizontal="center" readingOrder="1" shrinkToFit="0" vertical="center" wrapText="1"/>
    </xf>
    <xf borderId="31" fillId="0" fontId="11" numFmtId="0" xfId="0" applyAlignment="1" applyBorder="1" applyFont="1">
      <alignment horizontal="center" readingOrder="1" shrinkToFit="0" vertical="center" wrapText="1"/>
    </xf>
    <xf borderId="32" fillId="3" fontId="12" numFmtId="168" xfId="0" applyAlignment="1" applyBorder="1" applyFont="1" applyNumberFormat="1">
      <alignment horizontal="center" readingOrder="1" shrinkToFit="0" vertical="center" wrapText="1"/>
    </xf>
    <xf borderId="33" fillId="4" fontId="12" numFmtId="164" xfId="0" applyAlignment="1" applyBorder="1" applyFont="1" applyNumberFormat="1">
      <alignment horizontal="center" readingOrder="1" shrinkToFit="0" vertical="center" wrapText="1"/>
    </xf>
    <xf borderId="34" fillId="5" fontId="4" numFmtId="165" xfId="0" applyAlignment="1" applyBorder="1" applyFont="1" applyNumberFormat="1">
      <alignment horizontal="left" readingOrder="1" shrinkToFit="0" vertical="center" wrapText="1"/>
    </xf>
    <xf borderId="35" fillId="5" fontId="4" numFmtId="165" xfId="0" applyAlignment="1" applyBorder="1" applyFont="1" applyNumberFormat="1">
      <alignment horizontal="center" readingOrder="1" shrinkToFit="0" vertical="center" wrapText="1"/>
    </xf>
    <xf borderId="31" fillId="5" fontId="4" numFmtId="165" xfId="0" applyAlignment="1" applyBorder="1" applyFont="1" applyNumberFormat="1">
      <alignment horizontal="center" readingOrder="1" shrinkToFit="0" vertical="center" wrapText="1"/>
    </xf>
    <xf borderId="31" fillId="5" fontId="13" numFmtId="166" xfId="0" applyAlignment="1" applyBorder="1" applyFont="1" applyNumberFormat="1">
      <alignment horizontal="center" readingOrder="1" shrinkToFit="0" vertical="center" wrapText="1"/>
    </xf>
    <xf borderId="31" fillId="5" fontId="11" numFmtId="168" xfId="0" applyAlignment="1" applyBorder="1" applyFont="1" applyNumberFormat="1">
      <alignment horizontal="center" readingOrder="1" shrinkToFit="0" vertical="center" wrapText="1"/>
    </xf>
    <xf borderId="32" fillId="5" fontId="12" numFmtId="164" xfId="0" applyAlignment="1" applyBorder="1" applyFont="1" applyNumberFormat="1">
      <alignment horizontal="center" readingOrder="1" shrinkToFit="0" vertical="center" wrapText="1"/>
    </xf>
    <xf borderId="0" fillId="0" fontId="4" numFmtId="0" xfId="0" applyAlignment="1" applyFont="1">
      <alignment horizontal="left" shrinkToFit="0" vertical="center" wrapText="1"/>
    </xf>
    <xf borderId="31" fillId="0" fontId="4" numFmtId="0" xfId="0" applyAlignment="1" applyBorder="1" applyFont="1">
      <alignment horizontal="left" shrinkToFit="0" vertical="center" wrapText="1"/>
    </xf>
    <xf borderId="31" fillId="0" fontId="4" numFmtId="49" xfId="0" applyAlignment="1" applyBorder="1" applyFont="1" applyNumberFormat="1">
      <alignment horizontal="center" readingOrder="0" shrinkToFit="0" vertical="center" wrapText="1"/>
    </xf>
    <xf borderId="31" fillId="0" fontId="11" numFmtId="0" xfId="0" applyAlignment="1" applyBorder="1" applyFont="1">
      <alignment horizontal="center" readingOrder="1" shrinkToFit="0" vertical="center" wrapText="1"/>
    </xf>
    <xf borderId="36" fillId="0" fontId="1" numFmtId="0" xfId="0" applyAlignment="1" applyBorder="1" applyFont="1">
      <alignment horizontal="left" shrinkToFit="0" vertical="center" wrapText="1"/>
    </xf>
    <xf borderId="37" fillId="5" fontId="11" numFmtId="167" xfId="0" applyAlignment="1" applyBorder="1" applyFont="1" applyNumberFormat="1">
      <alignment horizontal="center" readingOrder="1" shrinkToFit="0" vertical="center" wrapText="1"/>
    </xf>
    <xf borderId="4" fillId="8" fontId="4" numFmtId="49" xfId="0" applyAlignment="1" applyBorder="1" applyFill="1" applyFont="1" applyNumberFormat="1">
      <alignment horizontal="left" shrinkToFit="0" vertical="center" wrapText="1"/>
    </xf>
    <xf borderId="37" fillId="5" fontId="11" numFmtId="0" xfId="0" applyAlignment="1" applyBorder="1" applyFont="1">
      <alignment horizontal="center" readingOrder="1" shrinkToFit="0" vertical="center" wrapText="1"/>
    </xf>
    <xf borderId="4" fillId="8" fontId="12" numFmtId="49" xfId="0" applyAlignment="1" applyBorder="1" applyFont="1" applyNumberFormat="1">
      <alignment horizontal="left" shrinkToFit="0" vertical="center" wrapText="1"/>
    </xf>
    <xf borderId="4" fillId="8" fontId="4" numFmtId="49" xfId="0" applyAlignment="1" applyBorder="1" applyFont="1" applyNumberFormat="1">
      <alignment horizontal="left" readingOrder="1" shrinkToFit="0" vertical="center" wrapText="1"/>
    </xf>
    <xf borderId="31" fillId="0" fontId="7" numFmtId="0" xfId="0" applyAlignment="1" applyBorder="1" applyFont="1">
      <alignment shrinkToFit="0" vertical="center" wrapText="1"/>
    </xf>
    <xf borderId="33" fillId="7" fontId="12" numFmtId="164" xfId="0" applyAlignment="1" applyBorder="1" applyFont="1" applyNumberFormat="1">
      <alignment horizontal="center" readingOrder="1" shrinkToFit="0" vertical="center" wrapText="1"/>
    </xf>
    <xf borderId="34" fillId="6" fontId="10" numFmtId="0" xfId="0" applyAlignment="1" applyBorder="1" applyFont="1">
      <alignment horizontal="left" shrinkToFit="0" vertical="center" wrapText="1"/>
    </xf>
    <xf borderId="35" fillId="6" fontId="1" numFmtId="165" xfId="0" applyAlignment="1" applyBorder="1" applyFont="1" applyNumberFormat="1">
      <alignment shrinkToFit="0" vertical="center" wrapText="1"/>
    </xf>
    <xf borderId="31" fillId="6" fontId="1" numFmtId="165" xfId="0" applyAlignment="1" applyBorder="1" applyFont="1" applyNumberFormat="1">
      <alignment shrinkToFit="0" vertical="center" wrapText="1"/>
    </xf>
    <xf borderId="31" fillId="6" fontId="1" numFmtId="168" xfId="0" applyAlignment="1" applyBorder="1" applyFont="1" applyNumberFormat="1">
      <alignment shrinkToFit="0" vertical="center" wrapText="1"/>
    </xf>
    <xf borderId="32" fillId="6" fontId="1" numFmtId="0" xfId="0" applyAlignment="1" applyBorder="1" applyFont="1">
      <alignment shrinkToFit="0" vertical="center" wrapText="1"/>
    </xf>
    <xf borderId="35" fillId="6" fontId="10" numFmtId="165" xfId="0" applyAlignment="1" applyBorder="1" applyFont="1" applyNumberFormat="1">
      <alignment shrinkToFit="0" vertical="center" wrapText="1"/>
    </xf>
    <xf borderId="31" fillId="6" fontId="10" numFmtId="165" xfId="0" applyAlignment="1" applyBorder="1" applyFont="1" applyNumberFormat="1">
      <alignment shrinkToFit="0" vertical="center" wrapText="1"/>
    </xf>
    <xf borderId="32" fillId="6" fontId="10" numFmtId="0" xfId="0" applyAlignment="1" applyBorder="1" applyFont="1">
      <alignment shrinkToFit="0" vertical="center" wrapText="1"/>
    </xf>
    <xf borderId="37" fillId="5" fontId="13" numFmtId="166" xfId="0" applyAlignment="1" applyBorder="1" applyFont="1" applyNumberFormat="1">
      <alignment horizontal="center" readingOrder="1" shrinkToFit="0" vertical="center" wrapText="1"/>
    </xf>
    <xf borderId="33" fillId="5" fontId="12" numFmtId="164" xfId="0" applyAlignment="1" applyBorder="1" applyFont="1" applyNumberFormat="1">
      <alignment horizontal="center" readingOrder="1" shrinkToFit="0" vertical="center" wrapText="1"/>
    </xf>
    <xf borderId="31" fillId="5" fontId="11" numFmtId="167" xfId="0" applyAlignment="1" applyBorder="1" applyFont="1" applyNumberFormat="1">
      <alignment horizontal="center" readingOrder="1" shrinkToFit="0" vertical="center" wrapText="1"/>
    </xf>
    <xf borderId="35" fillId="6" fontId="10" numFmtId="0" xfId="0" applyAlignment="1" applyBorder="1" applyFont="1">
      <alignment shrinkToFit="0" vertical="center" wrapText="1"/>
    </xf>
    <xf borderId="31" fillId="6" fontId="10" numFmtId="0" xfId="0" applyAlignment="1" applyBorder="1" applyFont="1">
      <alignment shrinkToFit="0" vertical="center" wrapText="1"/>
    </xf>
    <xf borderId="5" fillId="5" fontId="11" numFmtId="167" xfId="0" applyAlignment="1" applyBorder="1" applyFont="1" applyNumberFormat="1">
      <alignment horizontal="center" readingOrder="1" shrinkToFit="0" vertical="center" wrapText="1"/>
    </xf>
    <xf borderId="0" fillId="0" fontId="14" numFmtId="49" xfId="0" applyAlignment="1" applyFont="1" applyNumberFormat="1">
      <alignment horizontal="left" readingOrder="1" shrinkToFit="0" vertical="center" wrapText="1"/>
    </xf>
    <xf borderId="8" fillId="2" fontId="14" numFmtId="168" xfId="0" applyAlignment="1" applyBorder="1" applyFont="1" applyNumberFormat="1">
      <alignment horizontal="right" readingOrder="1" shrinkToFit="0" vertical="center" wrapText="1"/>
    </xf>
    <xf borderId="38" fillId="2" fontId="14" numFmtId="168" xfId="0" applyAlignment="1" applyBorder="1" applyFont="1" applyNumberFormat="1">
      <alignment horizontal="right" readingOrder="1" shrinkToFit="0" vertical="center" wrapText="1"/>
    </xf>
    <xf borderId="39" fillId="3" fontId="14" numFmtId="168" xfId="0" applyAlignment="1" applyBorder="1" applyFont="1" applyNumberFormat="1">
      <alignment horizontal="center" readingOrder="1" shrinkToFit="0" vertical="center" wrapText="1"/>
    </xf>
    <xf borderId="33" fillId="7" fontId="14" numFmtId="168" xfId="0" applyAlignment="1" applyBorder="1" applyFont="1" applyNumberFormat="1">
      <alignment horizontal="right" readingOrder="1" shrinkToFit="0" vertical="center" wrapText="1"/>
    </xf>
    <xf borderId="34" fillId="2" fontId="14" numFmtId="168" xfId="0" applyAlignment="1" applyBorder="1" applyFont="1" applyNumberFormat="1">
      <alignment horizontal="right" readingOrder="1" shrinkToFit="0" vertical="center" wrapText="1"/>
    </xf>
    <xf borderId="35" fillId="2" fontId="14" numFmtId="168" xfId="0" applyAlignment="1" applyBorder="1" applyFont="1" applyNumberFormat="1">
      <alignment horizontal="right" readingOrder="1" shrinkToFit="0" vertical="center" wrapText="1"/>
    </xf>
    <xf borderId="31" fillId="2" fontId="14" numFmtId="168" xfId="0" applyAlignment="1" applyBorder="1" applyFont="1" applyNumberFormat="1">
      <alignment horizontal="right" readingOrder="1" shrinkToFit="0" vertical="center" wrapText="1"/>
    </xf>
    <xf borderId="32" fillId="2" fontId="15" numFmtId="167" xfId="0" applyAlignment="1" applyBorder="1" applyFont="1" applyNumberFormat="1">
      <alignment horizontal="center" readingOrder="1" shrinkToFit="0" vertical="center" wrapText="1"/>
    </xf>
    <xf borderId="0" fillId="0" fontId="16" numFmtId="49" xfId="0" applyAlignment="1" applyFont="1" applyNumberFormat="1">
      <alignment horizontal="left" readingOrder="1" shrinkToFit="0" wrapText="1"/>
    </xf>
    <xf borderId="24" fillId="6" fontId="1" numFmtId="168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shrinkToFit="0" vertical="center" wrapText="1"/>
    </xf>
    <xf borderId="31" fillId="3" fontId="12" numFmtId="168" xfId="0" applyAlignment="1" applyBorder="1" applyFont="1" applyNumberFormat="1">
      <alignment horizontal="center" readingOrder="1" shrinkToFit="0" vertical="center" wrapText="1"/>
    </xf>
    <xf borderId="0" fillId="0" fontId="12" numFmtId="164" xfId="0" applyAlignment="1" applyFont="1" applyNumberFormat="1">
      <alignment horizontal="center" readingOrder="1" shrinkToFit="0" vertical="center" wrapText="1"/>
    </xf>
    <xf borderId="0" fillId="0" fontId="4" numFmtId="165" xfId="0" applyAlignment="1" applyFont="1" applyNumberFormat="1">
      <alignment horizontal="left" readingOrder="1" shrinkToFit="0" vertical="center" wrapText="1"/>
    </xf>
    <xf borderId="0" fillId="0" fontId="4" numFmtId="165" xfId="0" applyAlignment="1" applyFont="1" applyNumberFormat="1">
      <alignment horizontal="center" readingOrder="1" shrinkToFit="0" vertical="center" wrapText="1"/>
    </xf>
    <xf borderId="0" fillId="0" fontId="13" numFmtId="166" xfId="0" applyAlignment="1" applyFont="1" applyNumberFormat="1">
      <alignment horizontal="center" readingOrder="1" shrinkToFit="0" vertical="center" wrapText="1"/>
    </xf>
    <xf borderId="0" fillId="0" fontId="11" numFmtId="168" xfId="0" applyAlignment="1" applyFont="1" applyNumberFormat="1">
      <alignment horizontal="center" readingOrder="1" shrinkToFit="0" vertical="center" wrapText="1"/>
    </xf>
    <xf borderId="0" fillId="0" fontId="11" numFmtId="167" xfId="0" applyAlignment="1" applyFont="1" applyNumberFormat="1">
      <alignment horizontal="center" readingOrder="1" shrinkToFit="0" vertical="center" wrapText="1"/>
    </xf>
    <xf borderId="38" fillId="3" fontId="14" numFmtId="168" xfId="0" applyAlignment="1" applyBorder="1" applyFont="1" applyNumberFormat="1">
      <alignment horizontal="center" readingOrder="1" shrinkToFit="0" vertical="center" wrapText="1"/>
    </xf>
    <xf borderId="0" fillId="0" fontId="14" numFmtId="168" xfId="0" applyAlignment="1" applyFont="1" applyNumberFormat="1">
      <alignment horizontal="right" readingOrder="1" shrinkToFit="0" vertical="center" wrapText="1"/>
    </xf>
    <xf borderId="0" fillId="0" fontId="15" numFmtId="167" xfId="0" applyAlignment="1" applyFont="1" applyNumberFormat="1">
      <alignment horizontal="center" readingOrder="1" shrinkToFit="0" vertical="center" wrapText="1"/>
    </xf>
    <xf borderId="31" fillId="9" fontId="14" numFmtId="168" xfId="0" applyAlignment="1" applyBorder="1" applyFill="1" applyFont="1" applyNumberFormat="1">
      <alignment horizontal="center" readingOrder="1" shrinkToFit="0" vertical="center" wrapText="1"/>
    </xf>
    <xf borderId="0" fillId="0" fontId="14" numFmtId="168" xfId="0" applyAlignment="1" applyFont="1" applyNumberFormat="1">
      <alignment horizontal="center" readingOrder="1" shrinkToFit="0" vertical="center" wrapText="1"/>
    </xf>
    <xf borderId="31" fillId="9" fontId="17" numFmtId="168" xfId="0" applyAlignment="1" applyBorder="1" applyFont="1" applyNumberFormat="1">
      <alignment horizontal="center" vertical="bottom"/>
    </xf>
    <xf borderId="35" fillId="10" fontId="18" numFmtId="168" xfId="0" applyAlignment="1" applyBorder="1" applyFill="1" applyFont="1" applyNumberFormat="1">
      <alignment horizontal="center" shrinkToFit="0" vertical="bottom" wrapText="1"/>
    </xf>
    <xf borderId="34" fillId="10" fontId="4" numFmtId="168" xfId="0" applyAlignment="1" applyBorder="1" applyFont="1" applyNumberFormat="1">
      <alignment vertical="bottom"/>
    </xf>
    <xf borderId="31" fillId="11" fontId="4" numFmtId="169" xfId="0" applyAlignment="1" applyBorder="1" applyFill="1" applyFont="1" applyNumberFormat="1">
      <alignment vertical="bottom"/>
    </xf>
    <xf borderId="31" fillId="11" fontId="4" numFmtId="10" xfId="0" applyAlignment="1" applyBorder="1" applyFont="1" applyNumberFormat="1">
      <alignment vertical="bottom"/>
    </xf>
    <xf borderId="0" fillId="0" fontId="19" numFmtId="0" xfId="0" applyAlignment="1" applyFont="1">
      <alignment shrinkToFit="0" wrapText="1"/>
    </xf>
    <xf borderId="0" fillId="0" fontId="1" numFmtId="2" xfId="0" applyAlignment="1" applyFont="1" applyNumberFormat="1">
      <alignment horizontal="left" readingOrder="1" shrinkToFit="0" vertical="center" wrapText="1"/>
    </xf>
    <xf borderId="40" fillId="9" fontId="14" numFmtId="168" xfId="0" applyAlignment="1" applyBorder="1" applyFont="1" applyNumberFormat="1">
      <alignment horizontal="right" readingOrder="1" shrinkToFit="0" vertical="center" wrapText="1"/>
    </xf>
    <xf borderId="41" fillId="9" fontId="14" numFmtId="168" xfId="0" applyAlignment="1" applyBorder="1" applyFont="1" applyNumberFormat="1">
      <alignment horizontal="right" readingOrder="1" shrinkToFit="0" vertical="center" wrapText="1"/>
    </xf>
    <xf borderId="42" fillId="9" fontId="1" numFmtId="165" xfId="0" applyAlignment="1" applyBorder="1" applyFont="1" applyNumberFormat="1">
      <alignment horizontal="center" readingOrder="1" shrinkToFit="0" vertical="center" wrapText="1"/>
    </xf>
    <xf borderId="41" fillId="10" fontId="20" numFmtId="168" xfId="0" applyAlignment="1" applyBorder="1" applyFont="1" applyNumberFormat="1">
      <alignment horizontal="center" readingOrder="1" shrinkToFit="0" vertical="center" wrapText="1"/>
    </xf>
    <xf borderId="37" fillId="9" fontId="1" numFmtId="165" xfId="0" applyAlignment="1" applyBorder="1" applyFont="1" applyNumberFormat="1">
      <alignment horizontal="center" readingOrder="1" shrinkToFit="0" vertical="center" wrapText="1"/>
    </xf>
    <xf borderId="43" fillId="9" fontId="1" numFmtId="165" xfId="0" applyAlignment="1" applyBorder="1" applyFont="1" applyNumberFormat="1">
      <alignment horizontal="center" readingOrder="1" shrinkToFit="0" vertical="center" wrapText="1"/>
    </xf>
    <xf borderId="31" fillId="9" fontId="17" numFmtId="166" xfId="0" applyAlignment="1" applyBorder="1" applyFont="1" applyNumberFormat="1">
      <alignment horizontal="center" readingOrder="1" shrinkToFit="0" vertical="center" wrapText="1"/>
    </xf>
    <xf borderId="29" fillId="11" fontId="21" numFmtId="168" xfId="0" applyAlignment="1" applyBorder="1" applyFont="1" applyNumberFormat="1">
      <alignment horizontal="center" readingOrder="1" shrinkToFit="0" vertical="center" wrapText="1"/>
    </xf>
    <xf borderId="31" fillId="11" fontId="22" numFmtId="169" xfId="0" applyAlignment="1" applyBorder="1" applyFont="1" applyNumberFormat="1">
      <alignment horizontal="center" shrinkToFit="0" vertical="center" wrapText="1"/>
    </xf>
    <xf borderId="31" fillId="11" fontId="22" numFmtId="10" xfId="0" applyAlignment="1" applyBorder="1" applyFont="1" applyNumberFormat="1">
      <alignment horizontal="center" shrinkToFit="0" vertical="center" wrapText="1"/>
    </xf>
    <xf borderId="31" fillId="11" fontId="21" numFmtId="168" xfId="0" applyAlignment="1" applyBorder="1" applyFont="1" applyNumberFormat="1">
      <alignment horizontal="center" readingOrder="1" shrinkToFit="0" vertical="center" wrapText="1"/>
    </xf>
    <xf borderId="0" fillId="0" fontId="4" numFmtId="0" xfId="0" applyAlignment="1" applyFont="1">
      <alignment horizontal="center" readingOrder="1" shrinkToFit="0" vertical="center" wrapText="1"/>
    </xf>
    <xf borderId="0" fillId="0" fontId="4" numFmtId="164" xfId="0" applyAlignment="1" applyFont="1" applyNumberFormat="1">
      <alignment horizontal="center" readingOrder="1" shrinkToFit="0" wrapText="1"/>
    </xf>
    <xf borderId="31" fillId="11" fontId="21" numFmtId="170" xfId="0" applyAlignment="1" applyBorder="1" applyFont="1" applyNumberFormat="1">
      <alignment horizontal="center" readingOrder="1" shrinkToFit="0" vertical="center" wrapText="1"/>
    </xf>
    <xf borderId="29" fillId="11" fontId="21" numFmtId="10" xfId="0" applyAlignment="1" applyBorder="1" applyFont="1" applyNumberFormat="1">
      <alignment horizontal="center" readingOrder="1" shrinkToFit="0" vertical="center" wrapText="1"/>
    </xf>
    <xf borderId="44" fillId="0" fontId="22" numFmtId="171" xfId="0" applyAlignment="1" applyBorder="1" applyFont="1" applyNumberFormat="1">
      <alignment horizontal="left" shrinkToFit="0" vertical="center" wrapText="1"/>
    </xf>
    <xf borderId="44" fillId="0" fontId="22" numFmtId="172" xfId="0" applyAlignment="1" applyBorder="1" applyFont="1" applyNumberFormat="1">
      <alignment horizontal="left" shrinkToFit="0" vertical="center" wrapText="1"/>
    </xf>
    <xf borderId="0" fillId="0" fontId="13" numFmtId="49" xfId="0" applyAlignment="1" applyFont="1" applyNumberFormat="1">
      <alignment horizontal="left" readingOrder="1" shrinkToFit="0" vertical="center" wrapText="1"/>
    </xf>
    <xf borderId="0" fillId="0" fontId="14" numFmtId="168" xfId="0" applyAlignment="1" applyFont="1" applyNumberFormat="1">
      <alignment horizontal="right" readingOrder="1" vertical="center"/>
    </xf>
    <xf borderId="0" fillId="0" fontId="1" numFmtId="0" xfId="0" applyAlignment="1" applyFont="1">
      <alignment horizontal="center" readingOrder="1" shrinkToFit="0" vertical="center" wrapText="1"/>
    </xf>
    <xf borderId="0" fillId="0" fontId="4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left" readingOrder="1" shrinkToFit="0" vertical="center" wrapText="1"/>
    </xf>
    <xf borderId="0" fillId="0" fontId="1" numFmtId="166" xfId="0" applyAlignment="1" applyFont="1" applyNumberFormat="1">
      <alignment horizontal="center" readingOrder="1" shrinkToFit="0" vertical="center" wrapText="1"/>
    </xf>
    <xf borderId="0" fillId="0" fontId="1" numFmtId="167" xfId="0" applyAlignment="1" applyFont="1" applyNumberFormat="1">
      <alignment horizontal="center" readingOrder="1" shrinkToFit="0" vertical="center" wrapText="1"/>
    </xf>
    <xf borderId="0" fillId="0" fontId="4" numFmtId="0" xfId="0" applyAlignment="1" applyFont="1">
      <alignment horizontal="center" readingOrder="1" vertical="center"/>
    </xf>
    <xf borderId="0" fillId="0" fontId="6" numFmtId="49" xfId="0" applyAlignment="1" applyFont="1" applyNumberFormat="1">
      <alignment shrinkToFit="0" wrapText="1"/>
    </xf>
    <xf borderId="0" fillId="0" fontId="4" numFmtId="49" xfId="0" applyAlignment="1" applyFont="1" applyNumberFormat="1">
      <alignment horizontal="left" readingOrder="1"/>
    </xf>
  </cellXfs>
  <cellStyles count="1">
    <cellStyle xfId="0" name="Normal" builtinId="0"/>
  </cellStyles>
  <dxfs count="5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9.29"/>
    <col customWidth="1" min="3" max="3" width="23.0"/>
    <col customWidth="1" min="4" max="4" width="15.71"/>
    <col customWidth="1" min="5" max="7" width="12.43"/>
    <col customWidth="1" min="8" max="8" width="9.57"/>
    <col customWidth="1" min="9" max="9" width="20.14"/>
    <col customWidth="1" min="10" max="10" width="16.43"/>
    <col customWidth="1" min="11" max="11" width="27.71"/>
    <col customWidth="1" min="12" max="12" width="31.57"/>
    <col customWidth="1" min="13" max="13" width="12.71"/>
    <col customWidth="1" min="14" max="14" width="13.43"/>
    <col customWidth="1" min="15" max="15" width="14.14"/>
    <col customWidth="1" min="16" max="16" width="14.43"/>
    <col customWidth="1" min="17" max="17" width="36.43"/>
    <col customWidth="1" min="18" max="18" width="13.29"/>
    <col customWidth="1" min="19" max="30" width="8.86"/>
  </cols>
  <sheetData>
    <row r="1" ht="54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6"/>
      <c r="L1" s="7"/>
      <c r="M1" s="8"/>
      <c r="N1" s="9"/>
      <c r="O1" s="10"/>
      <c r="P1" s="10"/>
      <c r="Q1" s="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26.25" customHeight="1">
      <c r="A2" s="12"/>
      <c r="B2" s="13" t="s">
        <v>1</v>
      </c>
      <c r="C2" s="14"/>
      <c r="D2" s="15"/>
      <c r="E2" s="15"/>
      <c r="F2" s="15"/>
      <c r="G2" s="15"/>
      <c r="H2" s="15"/>
      <c r="I2" s="16"/>
      <c r="J2" s="5"/>
      <c r="K2" s="6"/>
      <c r="L2" s="7"/>
      <c r="M2" s="8"/>
      <c r="N2" s="9"/>
      <c r="O2" s="10"/>
      <c r="P2" s="10"/>
      <c r="Q2" s="5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ht="18.75" customHeight="1">
      <c r="A3" s="17"/>
      <c r="B3" s="18" t="s">
        <v>2</v>
      </c>
      <c r="C3" s="19"/>
      <c r="D3" s="15"/>
      <c r="E3" s="15"/>
      <c r="F3" s="15"/>
      <c r="G3" s="15"/>
      <c r="H3" s="15"/>
      <c r="I3" s="16"/>
      <c r="J3" s="5"/>
      <c r="K3" s="6"/>
      <c r="L3" s="20"/>
      <c r="M3" s="8"/>
      <c r="N3" s="9"/>
      <c r="O3" s="10"/>
      <c r="P3" s="10"/>
      <c r="Q3" s="5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3.5" customHeight="1">
      <c r="A4" s="12"/>
      <c r="B4" s="13" t="s">
        <v>3</v>
      </c>
      <c r="C4" s="21"/>
      <c r="D4" s="15"/>
      <c r="E4" s="15"/>
      <c r="F4" s="15"/>
      <c r="G4" s="15"/>
      <c r="H4" s="15"/>
      <c r="I4" s="16"/>
      <c r="J4" s="22"/>
      <c r="K4" s="8"/>
      <c r="L4" s="7"/>
      <c r="M4" s="23"/>
      <c r="N4" s="24"/>
      <c r="O4" s="25"/>
      <c r="P4" s="25"/>
      <c r="Q4" s="2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13.5" customHeight="1">
      <c r="A5" s="12"/>
      <c r="B5" s="13" t="s">
        <v>4</v>
      </c>
      <c r="C5" s="21"/>
      <c r="D5" s="15"/>
      <c r="E5" s="15"/>
      <c r="F5" s="15"/>
      <c r="G5" s="15"/>
      <c r="H5" s="15"/>
      <c r="I5" s="16"/>
      <c r="J5" s="22"/>
      <c r="K5" s="26"/>
      <c r="L5" s="27"/>
      <c r="M5" s="23"/>
      <c r="N5" s="24"/>
      <c r="O5" s="25"/>
      <c r="P5" s="25"/>
      <c r="Q5" s="22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3.5" customHeight="1">
      <c r="A6" s="12"/>
      <c r="B6" s="13" t="s">
        <v>5</v>
      </c>
      <c r="C6" s="21"/>
      <c r="D6" s="15"/>
      <c r="E6" s="15"/>
      <c r="F6" s="15"/>
      <c r="G6" s="15"/>
      <c r="H6" s="15"/>
      <c r="I6" s="16"/>
      <c r="J6" s="22"/>
      <c r="K6" s="26"/>
      <c r="L6" s="27"/>
      <c r="M6" s="23"/>
      <c r="N6" s="24"/>
      <c r="O6" s="25"/>
      <c r="P6" s="25"/>
      <c r="Q6" s="2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13.5" customHeight="1">
      <c r="A7" s="12"/>
      <c r="B7" s="13" t="s">
        <v>6</v>
      </c>
      <c r="C7" s="21"/>
      <c r="D7" s="15"/>
      <c r="E7" s="15"/>
      <c r="F7" s="15"/>
      <c r="G7" s="15"/>
      <c r="H7" s="15"/>
      <c r="I7" s="16"/>
      <c r="J7" s="22"/>
      <c r="K7" s="26"/>
      <c r="L7" s="27"/>
      <c r="M7" s="23"/>
      <c r="N7" s="24"/>
      <c r="O7" s="25"/>
      <c r="P7" s="25"/>
      <c r="Q7" s="22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3.5" customHeight="1">
      <c r="A8" s="12"/>
      <c r="B8" s="13" t="s">
        <v>7</v>
      </c>
      <c r="C8" s="21"/>
      <c r="D8" s="15"/>
      <c r="E8" s="15"/>
      <c r="F8" s="15"/>
      <c r="G8" s="15"/>
      <c r="H8" s="15"/>
      <c r="I8" s="16"/>
      <c r="J8" s="22"/>
      <c r="K8" s="26"/>
      <c r="L8" s="27"/>
      <c r="M8" s="23"/>
      <c r="N8" s="24"/>
      <c r="O8" s="25"/>
      <c r="P8" s="25"/>
      <c r="Q8" s="22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3.5" customHeight="1">
      <c r="A9" s="12"/>
      <c r="B9" s="13" t="s">
        <v>8</v>
      </c>
      <c r="C9" s="21"/>
      <c r="D9" s="15"/>
      <c r="E9" s="15"/>
      <c r="F9" s="15"/>
      <c r="G9" s="15"/>
      <c r="H9" s="15"/>
      <c r="I9" s="16"/>
      <c r="J9" s="22"/>
      <c r="K9" s="26"/>
      <c r="L9" s="27"/>
      <c r="M9" s="23"/>
      <c r="N9" s="24"/>
      <c r="O9" s="25"/>
      <c r="P9" s="25"/>
      <c r="Q9" s="2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13.5" customHeight="1">
      <c r="A10" s="12"/>
      <c r="B10" s="13" t="s">
        <v>9</v>
      </c>
      <c r="C10" s="28"/>
      <c r="D10" s="15"/>
      <c r="E10" s="15"/>
      <c r="F10" s="15"/>
      <c r="G10" s="15"/>
      <c r="H10" s="15"/>
      <c r="I10" s="16"/>
      <c r="J10" s="5"/>
      <c r="K10" s="6"/>
      <c r="L10" s="7"/>
      <c r="M10" s="8"/>
      <c r="N10" s="24"/>
      <c r="O10" s="10"/>
      <c r="P10" s="10"/>
      <c r="Q10" s="5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13.5" customHeight="1">
      <c r="A11" s="12"/>
      <c r="B11" s="13" t="s">
        <v>10</v>
      </c>
      <c r="C11" s="28"/>
      <c r="D11" s="15"/>
      <c r="E11" s="15"/>
      <c r="F11" s="15"/>
      <c r="G11" s="15"/>
      <c r="H11" s="15"/>
      <c r="I11" s="16"/>
      <c r="J11" s="5"/>
      <c r="K11" s="6"/>
      <c r="L11" s="7"/>
      <c r="M11" s="8"/>
      <c r="N11" s="24"/>
      <c r="O11" s="10"/>
      <c r="P11" s="10"/>
      <c r="Q11" s="5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13.5" customHeight="1">
      <c r="A12" s="12"/>
      <c r="B12" s="13" t="s">
        <v>11</v>
      </c>
      <c r="C12" s="28"/>
      <c r="D12" s="15"/>
      <c r="E12" s="15"/>
      <c r="F12" s="15"/>
      <c r="G12" s="15"/>
      <c r="H12" s="15"/>
      <c r="I12" s="16"/>
      <c r="J12" s="5"/>
      <c r="K12" s="6"/>
      <c r="L12" s="7"/>
      <c r="M12" s="8"/>
      <c r="N12" s="24"/>
      <c r="O12" s="10"/>
      <c r="P12" s="10"/>
      <c r="Q12" s="5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3.5" customHeight="1">
      <c r="A13" s="29"/>
      <c r="B13" s="30" t="s">
        <v>12</v>
      </c>
      <c r="C13" s="31"/>
      <c r="D13" s="15"/>
      <c r="E13" s="15"/>
      <c r="F13" s="15"/>
      <c r="G13" s="15"/>
      <c r="H13" s="15"/>
      <c r="I13" s="16"/>
      <c r="J13" s="22"/>
      <c r="K13" s="26"/>
      <c r="L13" s="27"/>
      <c r="M13" s="23"/>
      <c r="N13" s="24"/>
      <c r="O13" s="25"/>
      <c r="P13" s="25"/>
      <c r="Q13" s="22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3.5" customHeight="1">
      <c r="A14" s="12"/>
      <c r="B14" s="32" t="s">
        <v>13</v>
      </c>
      <c r="C14" s="33"/>
      <c r="D14" s="34"/>
      <c r="E14" s="34"/>
      <c r="F14" s="34"/>
      <c r="G14" s="34"/>
      <c r="H14" s="34"/>
      <c r="I14" s="35"/>
      <c r="J14" s="22"/>
      <c r="K14" s="26"/>
      <c r="L14" s="27"/>
      <c r="M14" s="23"/>
      <c r="N14" s="24"/>
      <c r="O14" s="25"/>
      <c r="P14" s="25"/>
      <c r="Q14" s="2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3.5" customHeight="1">
      <c r="A15" s="12"/>
      <c r="B15" s="12"/>
      <c r="C15" s="36"/>
      <c r="D15" s="37"/>
      <c r="E15" s="37"/>
      <c r="F15" s="37"/>
      <c r="G15" s="23"/>
      <c r="H15" s="38"/>
      <c r="I15" s="22"/>
      <c r="J15" s="22"/>
      <c r="K15" s="26"/>
      <c r="L15" s="27"/>
      <c r="M15" s="23"/>
      <c r="N15" s="24"/>
      <c r="O15" s="25"/>
      <c r="P15" s="25"/>
      <c r="Q15" s="2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3.5" customHeight="1">
      <c r="A16" s="39"/>
      <c r="B16" s="39"/>
      <c r="C16" s="39"/>
      <c r="D16" s="37"/>
      <c r="E16" s="37"/>
      <c r="F16" s="37"/>
      <c r="G16" s="23"/>
      <c r="H16" s="38"/>
      <c r="I16" s="22"/>
      <c r="J16" s="22"/>
      <c r="K16" s="26"/>
      <c r="L16" s="27"/>
      <c r="M16" s="23"/>
      <c r="N16" s="24"/>
      <c r="O16" s="25"/>
      <c r="P16" s="25"/>
      <c r="Q16" s="22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39.75" customHeight="1">
      <c r="A17" s="40"/>
      <c r="B17" s="41" t="s">
        <v>14</v>
      </c>
      <c r="C17" s="3"/>
      <c r="D17" s="3"/>
      <c r="E17" s="3"/>
      <c r="F17" s="3"/>
      <c r="G17" s="3"/>
      <c r="H17" s="3"/>
      <c r="I17" s="4"/>
      <c r="J17" s="42"/>
      <c r="K17" s="43"/>
      <c r="L17" s="34"/>
      <c r="M17" s="34"/>
      <c r="N17" s="34"/>
      <c r="O17" s="34"/>
      <c r="P17" s="34"/>
      <c r="Q17" s="44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45"/>
      <c r="B18" s="46" t="s">
        <v>15</v>
      </c>
      <c r="C18" s="47" t="s">
        <v>16</v>
      </c>
      <c r="D18" s="48" t="s">
        <v>17</v>
      </c>
      <c r="E18" s="48" t="s">
        <v>18</v>
      </c>
      <c r="F18" s="48" t="s">
        <v>19</v>
      </c>
      <c r="G18" s="49" t="s">
        <v>20</v>
      </c>
      <c r="H18" s="48" t="s">
        <v>21</v>
      </c>
      <c r="I18" s="50" t="s">
        <v>22</v>
      </c>
      <c r="J18" s="51" t="s">
        <v>23</v>
      </c>
      <c r="K18" s="52" t="s">
        <v>24</v>
      </c>
      <c r="L18" s="53" t="s">
        <v>17</v>
      </c>
      <c r="M18" s="54" t="s">
        <v>25</v>
      </c>
      <c r="N18" s="55" t="s">
        <v>26</v>
      </c>
      <c r="O18" s="56" t="s">
        <v>27</v>
      </c>
      <c r="P18" s="57" t="s">
        <v>28</v>
      </c>
      <c r="Q18" s="58" t="s">
        <v>29</v>
      </c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>
      <c r="A19" s="60"/>
      <c r="B19" s="61" t="s">
        <v>30</v>
      </c>
      <c r="C19" s="62"/>
      <c r="D19" s="63"/>
      <c r="E19" s="63"/>
      <c r="F19" s="63"/>
      <c r="G19" s="64"/>
      <c r="H19" s="65"/>
      <c r="I19" s="66"/>
      <c r="J19" s="67"/>
      <c r="K19" s="68" t="s">
        <v>31</v>
      </c>
      <c r="L19" s="69"/>
      <c r="M19" s="70"/>
      <c r="N19" s="71">
        <f t="shared" ref="N19:P19" si="1">SUM(N20:N29)</f>
        <v>0</v>
      </c>
      <c r="O19" s="72">
        <f t="shared" si="1"/>
        <v>0</v>
      </c>
      <c r="P19" s="72">
        <f t="shared" si="1"/>
        <v>0</v>
      </c>
      <c r="Q19" s="73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13"/>
      <c r="C20" s="76"/>
      <c r="D20" s="77"/>
      <c r="E20" s="78"/>
      <c r="F20" s="79"/>
      <c r="G20" s="80"/>
      <c r="H20" s="81"/>
      <c r="I20" s="82">
        <f t="shared" ref="I20:I57" si="2">G20*H20</f>
        <v>0</v>
      </c>
      <c r="J20" s="83"/>
      <c r="K20" s="84"/>
      <c r="L20" s="85"/>
      <c r="M20" s="86"/>
      <c r="N20" s="87"/>
      <c r="O20" s="88">
        <f t="shared" ref="O20:O29" si="3">M20*N20</f>
        <v>0</v>
      </c>
      <c r="P20" s="86"/>
      <c r="Q20" s="89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13"/>
      <c r="C21" s="76"/>
      <c r="D21" s="90"/>
      <c r="E21" s="91"/>
      <c r="F21" s="92"/>
      <c r="G21" s="80"/>
      <c r="H21" s="93"/>
      <c r="I21" s="82">
        <f t="shared" si="2"/>
        <v>0</v>
      </c>
      <c r="J21" s="83"/>
      <c r="K21" s="84"/>
      <c r="L21" s="85"/>
      <c r="M21" s="86"/>
      <c r="N21" s="87"/>
      <c r="O21" s="88">
        <f t="shared" si="3"/>
        <v>0</v>
      </c>
      <c r="P21" s="86"/>
      <c r="Q21" s="89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94"/>
      <c r="C22" s="76"/>
      <c r="D22" s="78"/>
      <c r="E22" s="78"/>
      <c r="F22" s="79"/>
      <c r="G22" s="80"/>
      <c r="H22" s="81"/>
      <c r="I22" s="82">
        <f t="shared" si="2"/>
        <v>0</v>
      </c>
      <c r="J22" s="83"/>
      <c r="K22" s="84"/>
      <c r="L22" s="85"/>
      <c r="M22" s="86"/>
      <c r="N22" s="87"/>
      <c r="O22" s="88">
        <f t="shared" si="3"/>
        <v>0</v>
      </c>
      <c r="P22" s="95"/>
      <c r="Q22" s="89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</row>
    <row r="23">
      <c r="A23" s="75"/>
      <c r="B23" s="13"/>
      <c r="C23" s="76"/>
      <c r="D23" s="78"/>
      <c r="E23" s="78"/>
      <c r="F23" s="79"/>
      <c r="G23" s="80"/>
      <c r="H23" s="81"/>
      <c r="I23" s="82">
        <f t="shared" si="2"/>
        <v>0</v>
      </c>
      <c r="J23" s="83"/>
      <c r="K23" s="84"/>
      <c r="L23" s="85"/>
      <c r="M23" s="86"/>
      <c r="N23" s="87"/>
      <c r="O23" s="88">
        <f t="shared" si="3"/>
        <v>0</v>
      </c>
      <c r="P23" s="88"/>
      <c r="Q23" s="89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</row>
    <row r="24">
      <c r="A24" s="75"/>
      <c r="B24" s="13"/>
      <c r="C24" s="76"/>
      <c r="D24" s="78"/>
      <c r="E24" s="78"/>
      <c r="F24" s="79"/>
      <c r="G24" s="80"/>
      <c r="H24" s="81"/>
      <c r="I24" s="82">
        <f t="shared" si="2"/>
        <v>0</v>
      </c>
      <c r="J24" s="83"/>
      <c r="K24" s="84"/>
      <c r="L24" s="85"/>
      <c r="M24" s="86"/>
      <c r="N24" s="87"/>
      <c r="O24" s="88">
        <f t="shared" si="3"/>
        <v>0</v>
      </c>
      <c r="P24" s="95"/>
      <c r="Q24" s="89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</row>
    <row r="25">
      <c r="A25" s="75"/>
      <c r="B25" s="94"/>
      <c r="C25" s="76"/>
      <c r="D25" s="78"/>
      <c r="E25" s="78"/>
      <c r="F25" s="79"/>
      <c r="G25" s="80"/>
      <c r="H25" s="81"/>
      <c r="I25" s="82">
        <f t="shared" si="2"/>
        <v>0</v>
      </c>
      <c r="J25" s="83"/>
      <c r="K25" s="84"/>
      <c r="L25" s="85"/>
      <c r="M25" s="86"/>
      <c r="N25" s="87"/>
      <c r="O25" s="88">
        <f t="shared" si="3"/>
        <v>0</v>
      </c>
      <c r="P25" s="88"/>
      <c r="Q25" s="89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</row>
    <row r="26">
      <c r="A26" s="75"/>
      <c r="B26" s="96"/>
      <c r="C26" s="76"/>
      <c r="D26" s="78"/>
      <c r="E26" s="78"/>
      <c r="F26" s="79"/>
      <c r="G26" s="80"/>
      <c r="H26" s="81"/>
      <c r="I26" s="82">
        <f t="shared" si="2"/>
        <v>0</v>
      </c>
      <c r="J26" s="83"/>
      <c r="K26" s="84"/>
      <c r="L26" s="85"/>
      <c r="M26" s="86"/>
      <c r="N26" s="87"/>
      <c r="O26" s="88">
        <f t="shared" si="3"/>
        <v>0</v>
      </c>
      <c r="P26" s="88"/>
      <c r="Q26" s="89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</row>
    <row r="27">
      <c r="A27" s="75"/>
      <c r="B27" s="96"/>
      <c r="C27" s="76"/>
      <c r="D27" s="78"/>
      <c r="E27" s="78"/>
      <c r="F27" s="79"/>
      <c r="G27" s="80"/>
      <c r="H27" s="81"/>
      <c r="I27" s="82">
        <f t="shared" si="2"/>
        <v>0</v>
      </c>
      <c r="J27" s="83"/>
      <c r="K27" s="84"/>
      <c r="L27" s="85"/>
      <c r="M27" s="86"/>
      <c r="N27" s="87"/>
      <c r="O27" s="88">
        <f t="shared" si="3"/>
        <v>0</v>
      </c>
      <c r="P27" s="88"/>
      <c r="Q27" s="89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</row>
    <row r="28">
      <c r="A28" s="75"/>
      <c r="B28" s="96"/>
      <c r="C28" s="76"/>
      <c r="D28" s="78"/>
      <c r="E28" s="78"/>
      <c r="F28" s="79"/>
      <c r="G28" s="80"/>
      <c r="H28" s="81"/>
      <c r="I28" s="82">
        <f t="shared" si="2"/>
        <v>0</v>
      </c>
      <c r="J28" s="83"/>
      <c r="K28" s="84"/>
      <c r="L28" s="85"/>
      <c r="M28" s="86"/>
      <c r="N28" s="87"/>
      <c r="O28" s="88">
        <f t="shared" si="3"/>
        <v>0</v>
      </c>
      <c r="P28" s="97"/>
      <c r="Q28" s="89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</row>
    <row r="29">
      <c r="A29" s="75"/>
      <c r="B29" s="98"/>
      <c r="C29" s="76"/>
      <c r="D29" s="78"/>
      <c r="E29" s="78"/>
      <c r="F29" s="79"/>
      <c r="G29" s="80"/>
      <c r="H29" s="81"/>
      <c r="I29" s="82">
        <f t="shared" si="2"/>
        <v>0</v>
      </c>
      <c r="J29" s="83"/>
      <c r="K29" s="84"/>
      <c r="L29" s="85"/>
      <c r="M29" s="86"/>
      <c r="N29" s="87"/>
      <c r="O29" s="88">
        <f t="shared" si="3"/>
        <v>0</v>
      </c>
      <c r="P29" s="97"/>
      <c r="Q29" s="89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</row>
    <row r="30">
      <c r="A30" s="75"/>
      <c r="B30" s="99"/>
      <c r="C30" s="100"/>
      <c r="D30" s="79"/>
      <c r="E30" s="79"/>
      <c r="F30" s="79"/>
      <c r="G30" s="80"/>
      <c r="H30" s="81"/>
      <c r="I30" s="82">
        <f t="shared" si="2"/>
        <v>0</v>
      </c>
      <c r="J30" s="101"/>
      <c r="K30" s="102" t="s">
        <v>32</v>
      </c>
      <c r="L30" s="103"/>
      <c r="M30" s="104"/>
      <c r="N30" s="104">
        <f t="shared" ref="N30:P30" si="4">SUM(N31:N35)</f>
        <v>0</v>
      </c>
      <c r="O30" s="105">
        <f t="shared" si="4"/>
        <v>0</v>
      </c>
      <c r="P30" s="105">
        <f t="shared" si="4"/>
        <v>0</v>
      </c>
      <c r="Q30" s="106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</row>
    <row r="31">
      <c r="A31" s="75"/>
      <c r="B31" s="99"/>
      <c r="C31" s="100"/>
      <c r="D31" s="79"/>
      <c r="E31" s="79"/>
      <c r="F31" s="79"/>
      <c r="G31" s="80"/>
      <c r="H31" s="81"/>
      <c r="I31" s="82">
        <f t="shared" si="2"/>
        <v>0</v>
      </c>
      <c r="J31" s="83"/>
      <c r="K31" s="84"/>
      <c r="L31" s="85"/>
      <c r="M31" s="86"/>
      <c r="N31" s="87"/>
      <c r="O31" s="88">
        <f t="shared" ref="O31:O35" si="5">M31*N31</f>
        <v>0</v>
      </c>
      <c r="P31" s="88"/>
      <c r="Q31" s="89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</row>
    <row r="32">
      <c r="A32" s="75"/>
      <c r="B32" s="99"/>
      <c r="C32" s="100"/>
      <c r="D32" s="79"/>
      <c r="E32" s="79"/>
      <c r="F32" s="79"/>
      <c r="G32" s="80"/>
      <c r="H32" s="81"/>
      <c r="I32" s="82">
        <f t="shared" si="2"/>
        <v>0</v>
      </c>
      <c r="J32" s="83"/>
      <c r="K32" s="84"/>
      <c r="L32" s="85"/>
      <c r="M32" s="86"/>
      <c r="N32" s="87"/>
      <c r="O32" s="88">
        <f t="shared" si="5"/>
        <v>0</v>
      </c>
      <c r="P32" s="97"/>
      <c r="Q32" s="89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</row>
    <row r="33">
      <c r="A33" s="75"/>
      <c r="B33" s="99"/>
      <c r="C33" s="100"/>
      <c r="D33" s="79"/>
      <c r="E33" s="79"/>
      <c r="F33" s="79"/>
      <c r="G33" s="80"/>
      <c r="H33" s="81"/>
      <c r="I33" s="82">
        <f t="shared" si="2"/>
        <v>0</v>
      </c>
      <c r="J33" s="83"/>
      <c r="K33" s="84"/>
      <c r="L33" s="85"/>
      <c r="M33" s="86"/>
      <c r="N33" s="87"/>
      <c r="O33" s="88">
        <f t="shared" si="5"/>
        <v>0</v>
      </c>
      <c r="P33" s="97"/>
      <c r="Q33" s="89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</row>
    <row r="34">
      <c r="A34" s="75"/>
      <c r="B34" s="99"/>
      <c r="C34" s="100"/>
      <c r="D34" s="79"/>
      <c r="E34" s="79"/>
      <c r="F34" s="79"/>
      <c r="G34" s="80"/>
      <c r="H34" s="81"/>
      <c r="I34" s="82">
        <f t="shared" si="2"/>
        <v>0</v>
      </c>
      <c r="J34" s="83"/>
      <c r="K34" s="84"/>
      <c r="L34" s="85"/>
      <c r="M34" s="86"/>
      <c r="N34" s="87"/>
      <c r="O34" s="88">
        <f t="shared" si="5"/>
        <v>0</v>
      </c>
      <c r="P34" s="97"/>
      <c r="Q34" s="89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</row>
    <row r="35">
      <c r="A35" s="75"/>
      <c r="B35" s="99"/>
      <c r="C35" s="100"/>
      <c r="D35" s="79"/>
      <c r="E35" s="79"/>
      <c r="F35" s="79"/>
      <c r="G35" s="80"/>
      <c r="H35" s="81"/>
      <c r="I35" s="82">
        <f t="shared" si="2"/>
        <v>0</v>
      </c>
      <c r="J35" s="83"/>
      <c r="K35" s="84"/>
      <c r="L35" s="85"/>
      <c r="M35" s="86"/>
      <c r="N35" s="87"/>
      <c r="O35" s="88">
        <f t="shared" si="5"/>
        <v>0</v>
      </c>
      <c r="P35" s="97"/>
      <c r="Q35" s="89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99"/>
      <c r="C36" s="100"/>
      <c r="D36" s="79"/>
      <c r="E36" s="79"/>
      <c r="F36" s="79"/>
      <c r="G36" s="80"/>
      <c r="H36" s="81"/>
      <c r="I36" s="82">
        <f t="shared" si="2"/>
        <v>0</v>
      </c>
      <c r="J36" s="101"/>
      <c r="K36" s="102" t="s">
        <v>33</v>
      </c>
      <c r="L36" s="107"/>
      <c r="M36" s="108"/>
      <c r="N36" s="104">
        <f t="shared" ref="N36:P36" si="6">SUM(N37:N41)</f>
        <v>0</v>
      </c>
      <c r="O36" s="105">
        <f t="shared" si="6"/>
        <v>0</v>
      </c>
      <c r="P36" s="105">
        <f t="shared" si="6"/>
        <v>0</v>
      </c>
      <c r="Q36" s="109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99"/>
      <c r="C37" s="100"/>
      <c r="D37" s="79"/>
      <c r="E37" s="79"/>
      <c r="F37" s="79"/>
      <c r="G37" s="80"/>
      <c r="H37" s="81"/>
      <c r="I37" s="82">
        <f t="shared" si="2"/>
        <v>0</v>
      </c>
      <c r="J37" s="83"/>
      <c r="K37" s="84"/>
      <c r="L37" s="85"/>
      <c r="M37" s="86"/>
      <c r="N37" s="110"/>
      <c r="O37" s="88">
        <f t="shared" ref="O37:O41" si="7">M37*N37</f>
        <v>0</v>
      </c>
      <c r="P37" s="88"/>
      <c r="Q37" s="111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99"/>
      <c r="C38" s="100"/>
      <c r="D38" s="79"/>
      <c r="E38" s="79"/>
      <c r="F38" s="79"/>
      <c r="G38" s="80"/>
      <c r="H38" s="81"/>
      <c r="I38" s="82">
        <f t="shared" si="2"/>
        <v>0</v>
      </c>
      <c r="J38" s="83"/>
      <c r="K38" s="84"/>
      <c r="L38" s="85"/>
      <c r="M38" s="86"/>
      <c r="N38" s="110"/>
      <c r="O38" s="88">
        <f t="shared" si="7"/>
        <v>0</v>
      </c>
      <c r="P38" s="112"/>
      <c r="Q38" s="111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99"/>
      <c r="C39" s="100"/>
      <c r="D39" s="79"/>
      <c r="E39" s="79"/>
      <c r="F39" s="79"/>
      <c r="G39" s="80"/>
      <c r="H39" s="81"/>
      <c r="I39" s="82">
        <f t="shared" si="2"/>
        <v>0</v>
      </c>
      <c r="J39" s="83"/>
      <c r="K39" s="84"/>
      <c r="L39" s="85"/>
      <c r="M39" s="86"/>
      <c r="N39" s="110"/>
      <c r="O39" s="88">
        <f t="shared" si="7"/>
        <v>0</v>
      </c>
      <c r="P39" s="112"/>
      <c r="Q39" s="111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</row>
    <row r="40">
      <c r="A40" s="75"/>
      <c r="B40" s="99"/>
      <c r="C40" s="100"/>
      <c r="D40" s="79"/>
      <c r="E40" s="79"/>
      <c r="F40" s="79"/>
      <c r="G40" s="80"/>
      <c r="H40" s="81"/>
      <c r="I40" s="82">
        <f t="shared" si="2"/>
        <v>0</v>
      </c>
      <c r="J40" s="83"/>
      <c r="K40" s="84"/>
      <c r="L40" s="85"/>
      <c r="M40" s="86"/>
      <c r="N40" s="110"/>
      <c r="O40" s="88">
        <f t="shared" si="7"/>
        <v>0</v>
      </c>
      <c r="P40" s="112"/>
      <c r="Q40" s="111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99"/>
      <c r="C41" s="100"/>
      <c r="D41" s="79"/>
      <c r="E41" s="79"/>
      <c r="F41" s="79"/>
      <c r="G41" s="80"/>
      <c r="H41" s="81"/>
      <c r="I41" s="82">
        <f t="shared" si="2"/>
        <v>0</v>
      </c>
      <c r="J41" s="83"/>
      <c r="K41" s="84"/>
      <c r="L41" s="85"/>
      <c r="M41" s="86"/>
      <c r="N41" s="110"/>
      <c r="O41" s="88">
        <f t="shared" si="7"/>
        <v>0</v>
      </c>
      <c r="P41" s="112"/>
      <c r="Q41" s="111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99"/>
      <c r="C42" s="100"/>
      <c r="D42" s="79"/>
      <c r="E42" s="79"/>
      <c r="F42" s="79"/>
      <c r="G42" s="80"/>
      <c r="H42" s="81"/>
      <c r="I42" s="82">
        <f t="shared" si="2"/>
        <v>0</v>
      </c>
      <c r="J42" s="101"/>
      <c r="K42" s="102" t="s">
        <v>34</v>
      </c>
      <c r="L42" s="113"/>
      <c r="M42" s="114"/>
      <c r="N42" s="104">
        <f t="shared" ref="N42:P42" si="8">SUM(N43:N47)</f>
        <v>0</v>
      </c>
      <c r="O42" s="105">
        <f t="shared" si="8"/>
        <v>0</v>
      </c>
      <c r="P42" s="105">
        <f t="shared" si="8"/>
        <v>0</v>
      </c>
      <c r="Q42" s="109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99"/>
      <c r="C43" s="100"/>
      <c r="D43" s="79"/>
      <c r="E43" s="79"/>
      <c r="F43" s="79"/>
      <c r="G43" s="80"/>
      <c r="H43" s="81"/>
      <c r="I43" s="82">
        <f t="shared" si="2"/>
        <v>0</v>
      </c>
      <c r="J43" s="83"/>
      <c r="K43" s="84"/>
      <c r="L43" s="85"/>
      <c r="M43" s="86"/>
      <c r="N43" s="87"/>
      <c r="O43" s="88">
        <f t="shared" ref="O43:O47" si="9">M43*N43</f>
        <v>0</v>
      </c>
      <c r="P43" s="115"/>
      <c r="Q43" s="89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99"/>
      <c r="C44" s="100"/>
      <c r="D44" s="79"/>
      <c r="E44" s="79"/>
      <c r="F44" s="79"/>
      <c r="G44" s="80"/>
      <c r="H44" s="81"/>
      <c r="I44" s="82">
        <f t="shared" si="2"/>
        <v>0</v>
      </c>
      <c r="J44" s="83"/>
      <c r="K44" s="84"/>
      <c r="L44" s="85"/>
      <c r="M44" s="86"/>
      <c r="N44" s="110"/>
      <c r="O44" s="88">
        <f t="shared" si="9"/>
        <v>0</v>
      </c>
      <c r="P44" s="112"/>
      <c r="Q44" s="111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99"/>
      <c r="C45" s="100"/>
      <c r="D45" s="79"/>
      <c r="E45" s="79"/>
      <c r="F45" s="79"/>
      <c r="G45" s="80"/>
      <c r="H45" s="81"/>
      <c r="I45" s="82">
        <f t="shared" si="2"/>
        <v>0</v>
      </c>
      <c r="J45" s="83"/>
      <c r="K45" s="84"/>
      <c r="L45" s="85"/>
      <c r="M45" s="86"/>
      <c r="N45" s="110"/>
      <c r="O45" s="88">
        <f t="shared" si="9"/>
        <v>0</v>
      </c>
      <c r="P45" s="112"/>
      <c r="Q45" s="111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99"/>
      <c r="C46" s="100"/>
      <c r="D46" s="79"/>
      <c r="E46" s="79"/>
      <c r="F46" s="79"/>
      <c r="G46" s="80"/>
      <c r="H46" s="81"/>
      <c r="I46" s="82">
        <f t="shared" si="2"/>
        <v>0</v>
      </c>
      <c r="J46" s="83"/>
      <c r="K46" s="84"/>
      <c r="L46" s="85"/>
      <c r="M46" s="86"/>
      <c r="N46" s="110"/>
      <c r="O46" s="88">
        <f t="shared" si="9"/>
        <v>0</v>
      </c>
      <c r="P46" s="112"/>
      <c r="Q46" s="111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</row>
    <row r="47">
      <c r="A47" s="75"/>
      <c r="B47" s="99"/>
      <c r="C47" s="100"/>
      <c r="D47" s="79"/>
      <c r="E47" s="79"/>
      <c r="F47" s="79"/>
      <c r="G47" s="80"/>
      <c r="H47" s="81"/>
      <c r="I47" s="82">
        <f t="shared" si="2"/>
        <v>0</v>
      </c>
      <c r="J47" s="83"/>
      <c r="K47" s="84"/>
      <c r="L47" s="85"/>
      <c r="M47" s="86"/>
      <c r="N47" s="110"/>
      <c r="O47" s="88">
        <f t="shared" si="9"/>
        <v>0</v>
      </c>
      <c r="P47" s="112"/>
      <c r="Q47" s="111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99"/>
      <c r="C48" s="100"/>
      <c r="D48" s="79"/>
      <c r="E48" s="79"/>
      <c r="F48" s="79"/>
      <c r="G48" s="80"/>
      <c r="H48" s="81"/>
      <c r="I48" s="82">
        <f t="shared" si="2"/>
        <v>0</v>
      </c>
      <c r="J48" s="101"/>
      <c r="K48" s="102" t="s">
        <v>35</v>
      </c>
      <c r="L48" s="113"/>
      <c r="M48" s="114"/>
      <c r="N48" s="104">
        <f t="shared" ref="N48:P48" si="10">SUM(N49:N53)</f>
        <v>0</v>
      </c>
      <c r="O48" s="105">
        <f t="shared" si="10"/>
        <v>0</v>
      </c>
      <c r="P48" s="105">
        <f t="shared" si="10"/>
        <v>0</v>
      </c>
      <c r="Q48" s="109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99"/>
      <c r="C49" s="100"/>
      <c r="D49" s="79"/>
      <c r="E49" s="79"/>
      <c r="F49" s="79"/>
      <c r="G49" s="80"/>
      <c r="H49" s="81"/>
      <c r="I49" s="82">
        <f t="shared" si="2"/>
        <v>0</v>
      </c>
      <c r="J49" s="83"/>
      <c r="K49" s="84"/>
      <c r="L49" s="85"/>
      <c r="M49" s="86"/>
      <c r="N49" s="110"/>
      <c r="O49" s="88">
        <f t="shared" ref="O49:O53" si="11">M49*N49</f>
        <v>0</v>
      </c>
      <c r="P49" s="112"/>
      <c r="Q49" s="111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99"/>
      <c r="C50" s="100"/>
      <c r="D50" s="79"/>
      <c r="E50" s="79"/>
      <c r="F50" s="79"/>
      <c r="G50" s="80"/>
      <c r="H50" s="81"/>
      <c r="I50" s="82">
        <f t="shared" si="2"/>
        <v>0</v>
      </c>
      <c r="J50" s="83"/>
      <c r="K50" s="84"/>
      <c r="L50" s="85"/>
      <c r="M50" s="86"/>
      <c r="N50" s="110"/>
      <c r="O50" s="88">
        <f t="shared" si="11"/>
        <v>0</v>
      </c>
      <c r="P50" s="112"/>
      <c r="Q50" s="111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99"/>
      <c r="C51" s="100"/>
      <c r="D51" s="79"/>
      <c r="E51" s="79"/>
      <c r="F51" s="79"/>
      <c r="G51" s="80"/>
      <c r="H51" s="81"/>
      <c r="I51" s="82">
        <f t="shared" si="2"/>
        <v>0</v>
      </c>
      <c r="J51" s="83"/>
      <c r="K51" s="84"/>
      <c r="L51" s="85"/>
      <c r="M51" s="86"/>
      <c r="N51" s="110"/>
      <c r="O51" s="88">
        <f t="shared" si="11"/>
        <v>0</v>
      </c>
      <c r="P51" s="112"/>
      <c r="Q51" s="111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99"/>
      <c r="C52" s="100"/>
      <c r="D52" s="79"/>
      <c r="E52" s="79"/>
      <c r="F52" s="79"/>
      <c r="G52" s="80"/>
      <c r="H52" s="81"/>
      <c r="I52" s="82">
        <f t="shared" si="2"/>
        <v>0</v>
      </c>
      <c r="J52" s="83"/>
      <c r="K52" s="84"/>
      <c r="L52" s="85"/>
      <c r="M52" s="86"/>
      <c r="N52" s="110"/>
      <c r="O52" s="88">
        <f t="shared" si="11"/>
        <v>0</v>
      </c>
      <c r="P52" s="112"/>
      <c r="Q52" s="111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99"/>
      <c r="C53" s="100"/>
      <c r="D53" s="79"/>
      <c r="E53" s="79"/>
      <c r="F53" s="79"/>
      <c r="G53" s="80"/>
      <c r="H53" s="81"/>
      <c r="I53" s="82">
        <f t="shared" si="2"/>
        <v>0</v>
      </c>
      <c r="J53" s="83"/>
      <c r="K53" s="84"/>
      <c r="L53" s="85"/>
      <c r="M53" s="86"/>
      <c r="N53" s="110"/>
      <c r="O53" s="88">
        <f t="shared" si="11"/>
        <v>0</v>
      </c>
      <c r="P53" s="112"/>
      <c r="Q53" s="111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99"/>
      <c r="C54" s="100"/>
      <c r="D54" s="79"/>
      <c r="E54" s="79"/>
      <c r="F54" s="79"/>
      <c r="G54" s="80"/>
      <c r="H54" s="81"/>
      <c r="I54" s="82">
        <f t="shared" si="2"/>
        <v>0</v>
      </c>
      <c r="J54" s="101"/>
      <c r="K54" s="102" t="s">
        <v>36</v>
      </c>
      <c r="L54" s="113"/>
      <c r="M54" s="114"/>
      <c r="N54" s="104">
        <f t="shared" ref="N54:P54" si="12">SUM(N55:N57)</f>
        <v>0</v>
      </c>
      <c r="O54" s="105">
        <f t="shared" si="12"/>
        <v>0</v>
      </c>
      <c r="P54" s="105">
        <f t="shared" si="12"/>
        <v>0</v>
      </c>
      <c r="Q54" s="109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99"/>
      <c r="C55" s="100"/>
      <c r="D55" s="79"/>
      <c r="E55" s="79"/>
      <c r="F55" s="79"/>
      <c r="G55" s="80"/>
      <c r="H55" s="81"/>
      <c r="I55" s="82">
        <f t="shared" si="2"/>
        <v>0</v>
      </c>
      <c r="J55" s="83"/>
      <c r="K55" s="84"/>
      <c r="L55" s="85"/>
      <c r="M55" s="86"/>
      <c r="N55" s="110"/>
      <c r="O55" s="88">
        <f t="shared" ref="O55:O57" si="13">M55*N55</f>
        <v>0</v>
      </c>
      <c r="P55" s="112"/>
      <c r="Q55" s="111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99"/>
      <c r="C56" s="100"/>
      <c r="D56" s="79"/>
      <c r="E56" s="79"/>
      <c r="F56" s="79"/>
      <c r="G56" s="80"/>
      <c r="H56" s="81"/>
      <c r="I56" s="82">
        <f t="shared" si="2"/>
        <v>0</v>
      </c>
      <c r="J56" s="83"/>
      <c r="K56" s="84"/>
      <c r="L56" s="85"/>
      <c r="M56" s="86"/>
      <c r="N56" s="110"/>
      <c r="O56" s="88">
        <f t="shared" si="13"/>
        <v>0</v>
      </c>
      <c r="P56" s="112"/>
      <c r="Q56" s="111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99"/>
      <c r="C57" s="100"/>
      <c r="D57" s="79"/>
      <c r="E57" s="79"/>
      <c r="F57" s="79"/>
      <c r="G57" s="80"/>
      <c r="H57" s="81"/>
      <c r="I57" s="82">
        <f t="shared" si="2"/>
        <v>0</v>
      </c>
      <c r="J57" s="83"/>
      <c r="K57" s="84"/>
      <c r="L57" s="85"/>
      <c r="M57" s="86"/>
      <c r="N57" s="87"/>
      <c r="O57" s="88">
        <f t="shared" si="13"/>
        <v>0</v>
      </c>
      <c r="P57" s="95"/>
      <c r="Q57" s="89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</row>
    <row r="58">
      <c r="A58" s="116"/>
      <c r="B58" s="117" t="s">
        <v>37</v>
      </c>
      <c r="C58" s="118"/>
      <c r="D58" s="118"/>
      <c r="E58" s="118"/>
      <c r="F58" s="118"/>
      <c r="G58" s="118"/>
      <c r="H58" s="118"/>
      <c r="I58" s="119">
        <f>SUM(I20:I57)</f>
        <v>0</v>
      </c>
      <c r="J58" s="120">
        <f>I108/2</f>
        <v>0</v>
      </c>
      <c r="K58" s="121"/>
      <c r="L58" s="122"/>
      <c r="M58" s="123"/>
      <c r="N58" s="123"/>
      <c r="O58" s="123">
        <f t="shared" ref="O58:P58" si="14">O19+O30+O36+O42+O48+O54</f>
        <v>0</v>
      </c>
      <c r="P58" s="123">
        <f t="shared" si="14"/>
        <v>0</v>
      </c>
      <c r="Q58" s="124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</row>
    <row r="59">
      <c r="A59" s="60"/>
      <c r="B59" s="61" t="s">
        <v>38</v>
      </c>
      <c r="C59" s="62"/>
      <c r="D59" s="63"/>
      <c r="E59" s="63"/>
      <c r="F59" s="63"/>
      <c r="G59" s="64"/>
      <c r="H59" s="65"/>
      <c r="I59" s="126"/>
      <c r="J59" s="127"/>
      <c r="K59" s="128"/>
      <c r="L59" s="129"/>
      <c r="M59" s="129"/>
      <c r="N59" s="130"/>
      <c r="O59" s="131"/>
      <c r="P59" s="131"/>
      <c r="Q59" s="129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13"/>
      <c r="C60" s="76"/>
      <c r="D60" s="77"/>
      <c r="E60" s="78"/>
      <c r="F60" s="79"/>
      <c r="G60" s="80"/>
      <c r="H60" s="81"/>
      <c r="I60" s="132">
        <f t="shared" ref="I60:I69" si="15">G60*H60</f>
        <v>0</v>
      </c>
      <c r="J60" s="133"/>
      <c r="K60" s="134"/>
      <c r="L60" s="135"/>
      <c r="M60" s="135"/>
      <c r="N60" s="136"/>
      <c r="O60" s="137"/>
      <c r="P60" s="138"/>
      <c r="Q60" s="133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13"/>
      <c r="C61" s="76"/>
      <c r="D61" s="90"/>
      <c r="E61" s="91"/>
      <c r="F61" s="79"/>
      <c r="G61" s="80"/>
      <c r="H61" s="81"/>
      <c r="I61" s="132">
        <f t="shared" si="15"/>
        <v>0</v>
      </c>
      <c r="J61" s="133"/>
      <c r="K61" s="134"/>
      <c r="L61" s="135"/>
      <c r="M61" s="135"/>
      <c r="N61" s="136"/>
      <c r="O61" s="137"/>
      <c r="P61" s="138"/>
      <c r="Q61" s="133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94"/>
      <c r="C62" s="76"/>
      <c r="D62" s="78"/>
      <c r="E62" s="78"/>
      <c r="F62" s="79"/>
      <c r="G62" s="80"/>
      <c r="H62" s="81"/>
      <c r="I62" s="132">
        <f t="shared" si="15"/>
        <v>0</v>
      </c>
      <c r="J62" s="133"/>
      <c r="K62" s="134"/>
      <c r="L62" s="135"/>
      <c r="M62" s="135"/>
      <c r="N62" s="136"/>
      <c r="O62" s="137"/>
      <c r="P62" s="138"/>
      <c r="Q62" s="133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13"/>
      <c r="C63" s="76"/>
      <c r="D63" s="78"/>
      <c r="E63" s="78"/>
      <c r="F63" s="79"/>
      <c r="G63" s="80"/>
      <c r="H63" s="81"/>
      <c r="I63" s="132">
        <f t="shared" si="15"/>
        <v>0</v>
      </c>
      <c r="J63" s="133"/>
      <c r="K63" s="134"/>
      <c r="L63" s="135"/>
      <c r="M63" s="135"/>
      <c r="N63" s="136"/>
      <c r="O63" s="137"/>
      <c r="P63" s="138"/>
      <c r="Q63" s="133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13"/>
      <c r="C64" s="76"/>
      <c r="D64" s="78"/>
      <c r="E64" s="78"/>
      <c r="F64" s="79"/>
      <c r="G64" s="80"/>
      <c r="H64" s="81"/>
      <c r="I64" s="132">
        <f t="shared" si="15"/>
        <v>0</v>
      </c>
      <c r="J64" s="133"/>
      <c r="K64" s="134"/>
      <c r="L64" s="135"/>
      <c r="M64" s="135"/>
      <c r="N64" s="136"/>
      <c r="O64" s="137"/>
      <c r="P64" s="138"/>
      <c r="Q64" s="133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94"/>
      <c r="C65" s="76"/>
      <c r="D65" s="78"/>
      <c r="E65" s="78"/>
      <c r="F65" s="79"/>
      <c r="G65" s="80"/>
      <c r="H65" s="81"/>
      <c r="I65" s="132">
        <f t="shared" si="15"/>
        <v>0</v>
      </c>
      <c r="J65" s="133"/>
      <c r="K65" s="134"/>
      <c r="L65" s="135"/>
      <c r="M65" s="135"/>
      <c r="N65" s="136"/>
      <c r="O65" s="137"/>
      <c r="P65" s="138"/>
      <c r="Q65" s="133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96"/>
      <c r="C66" s="76"/>
      <c r="D66" s="78"/>
      <c r="E66" s="78"/>
      <c r="F66" s="79"/>
      <c r="G66" s="80"/>
      <c r="H66" s="81"/>
      <c r="I66" s="132">
        <f t="shared" si="15"/>
        <v>0</v>
      </c>
      <c r="J66" s="133"/>
      <c r="K66" s="134"/>
      <c r="L66" s="135"/>
      <c r="M66" s="135"/>
      <c r="N66" s="136"/>
      <c r="O66" s="137"/>
      <c r="P66" s="138"/>
      <c r="Q66" s="133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96"/>
      <c r="C67" s="76"/>
      <c r="D67" s="78"/>
      <c r="E67" s="78"/>
      <c r="F67" s="79"/>
      <c r="G67" s="80"/>
      <c r="H67" s="81"/>
      <c r="I67" s="132">
        <f t="shared" si="15"/>
        <v>0</v>
      </c>
      <c r="J67" s="133"/>
      <c r="K67" s="134"/>
      <c r="L67" s="135"/>
      <c r="M67" s="135"/>
      <c r="N67" s="136"/>
      <c r="O67" s="137"/>
      <c r="P67" s="138"/>
      <c r="Q67" s="133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96"/>
      <c r="C68" s="76"/>
      <c r="D68" s="78"/>
      <c r="E68" s="78"/>
      <c r="F68" s="79"/>
      <c r="G68" s="80"/>
      <c r="H68" s="81"/>
      <c r="I68" s="132">
        <f t="shared" si="15"/>
        <v>0</v>
      </c>
      <c r="J68" s="133"/>
      <c r="K68" s="134"/>
      <c r="L68" s="135"/>
      <c r="M68" s="135"/>
      <c r="N68" s="136"/>
      <c r="O68" s="137"/>
      <c r="P68" s="138"/>
      <c r="Q68" s="133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</row>
    <row r="69">
      <c r="A69" s="75"/>
      <c r="B69" s="98"/>
      <c r="C69" s="76"/>
      <c r="D69" s="78"/>
      <c r="E69" s="78"/>
      <c r="F69" s="79"/>
      <c r="G69" s="80"/>
      <c r="H69" s="81"/>
      <c r="I69" s="132">
        <f t="shared" si="15"/>
        <v>0</v>
      </c>
      <c r="J69" s="133"/>
      <c r="K69" s="134"/>
      <c r="L69" s="135"/>
      <c r="M69" s="135"/>
      <c r="N69" s="136"/>
      <c r="O69" s="137"/>
      <c r="P69" s="138"/>
      <c r="Q69" s="133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</row>
    <row r="70">
      <c r="A70" s="116"/>
      <c r="B70" s="117" t="s">
        <v>37</v>
      </c>
      <c r="C70" s="118"/>
      <c r="D70" s="118"/>
      <c r="E70" s="118"/>
      <c r="F70" s="118"/>
      <c r="G70" s="118"/>
      <c r="H70" s="118"/>
      <c r="I70" s="139">
        <f>SUM(I60:I69)</f>
        <v>0</v>
      </c>
      <c r="J70" s="140"/>
      <c r="K70" s="140"/>
      <c r="L70" s="140"/>
      <c r="M70" s="140"/>
      <c r="N70" s="140"/>
      <c r="O70" s="140"/>
      <c r="P70" s="140"/>
      <c r="Q70" s="141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</row>
    <row r="71">
      <c r="A71" s="60"/>
      <c r="B71" s="61" t="s">
        <v>39</v>
      </c>
      <c r="C71" s="62"/>
      <c r="D71" s="63"/>
      <c r="E71" s="63"/>
      <c r="F71" s="63"/>
      <c r="G71" s="64"/>
      <c r="H71" s="65"/>
      <c r="I71" s="126"/>
      <c r="J71" s="127"/>
      <c r="K71" s="128"/>
      <c r="L71" s="129"/>
      <c r="M71" s="129"/>
      <c r="N71" s="130"/>
      <c r="O71" s="131"/>
      <c r="P71" s="131"/>
      <c r="Q71" s="129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13"/>
      <c r="C72" s="76"/>
      <c r="D72" s="77"/>
      <c r="E72" s="78"/>
      <c r="F72" s="79"/>
      <c r="G72" s="80"/>
      <c r="H72" s="81"/>
      <c r="I72" s="132">
        <f t="shared" ref="I72:I81" si="16">G72*H72</f>
        <v>0</v>
      </c>
      <c r="J72" s="133"/>
      <c r="K72" s="134"/>
      <c r="L72" s="135"/>
      <c r="M72" s="135"/>
      <c r="N72" s="136"/>
      <c r="O72" s="137"/>
      <c r="P72" s="138"/>
      <c r="Q72" s="133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13"/>
      <c r="C73" s="76"/>
      <c r="D73" s="90"/>
      <c r="E73" s="91"/>
      <c r="F73" s="79"/>
      <c r="G73" s="80"/>
      <c r="H73" s="81"/>
      <c r="I73" s="132">
        <f t="shared" si="16"/>
        <v>0</v>
      </c>
      <c r="J73" s="133"/>
      <c r="K73" s="134"/>
      <c r="L73" s="135"/>
      <c r="M73" s="135"/>
      <c r="N73" s="136"/>
      <c r="O73" s="137"/>
      <c r="P73" s="138"/>
      <c r="Q73" s="133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94"/>
      <c r="C74" s="76"/>
      <c r="D74" s="78"/>
      <c r="E74" s="78"/>
      <c r="F74" s="79"/>
      <c r="G74" s="80"/>
      <c r="H74" s="81"/>
      <c r="I74" s="132">
        <f t="shared" si="16"/>
        <v>0</v>
      </c>
      <c r="J74" s="133"/>
      <c r="K74" s="134"/>
      <c r="L74" s="135"/>
      <c r="M74" s="135"/>
      <c r="N74" s="136"/>
      <c r="O74" s="137"/>
      <c r="P74" s="138"/>
      <c r="Q74" s="133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13"/>
      <c r="C75" s="76"/>
      <c r="D75" s="78"/>
      <c r="E75" s="78"/>
      <c r="F75" s="79"/>
      <c r="G75" s="80"/>
      <c r="H75" s="81"/>
      <c r="I75" s="132">
        <f t="shared" si="16"/>
        <v>0</v>
      </c>
      <c r="J75" s="133"/>
      <c r="K75" s="134"/>
      <c r="L75" s="135"/>
      <c r="M75" s="135"/>
      <c r="N75" s="136"/>
      <c r="O75" s="137"/>
      <c r="P75" s="138"/>
      <c r="Q75" s="133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13"/>
      <c r="C76" s="76"/>
      <c r="D76" s="78"/>
      <c r="E76" s="78"/>
      <c r="F76" s="79"/>
      <c r="G76" s="80"/>
      <c r="H76" s="81"/>
      <c r="I76" s="132">
        <f t="shared" si="16"/>
        <v>0</v>
      </c>
      <c r="J76" s="133"/>
      <c r="K76" s="134"/>
      <c r="L76" s="135"/>
      <c r="M76" s="135"/>
      <c r="N76" s="136"/>
      <c r="O76" s="137"/>
      <c r="P76" s="138"/>
      <c r="Q76" s="133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</row>
    <row r="77">
      <c r="A77" s="75"/>
      <c r="B77" s="94"/>
      <c r="C77" s="76"/>
      <c r="D77" s="78"/>
      <c r="E77" s="78"/>
      <c r="F77" s="79"/>
      <c r="G77" s="80"/>
      <c r="H77" s="81"/>
      <c r="I77" s="132">
        <f t="shared" si="16"/>
        <v>0</v>
      </c>
      <c r="J77" s="133"/>
      <c r="K77" s="134"/>
      <c r="L77" s="135"/>
      <c r="M77" s="135"/>
      <c r="N77" s="136"/>
      <c r="O77" s="137"/>
      <c r="P77" s="138"/>
      <c r="Q77" s="133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96"/>
      <c r="C78" s="76"/>
      <c r="D78" s="78"/>
      <c r="E78" s="78"/>
      <c r="F78" s="79"/>
      <c r="G78" s="80"/>
      <c r="H78" s="81"/>
      <c r="I78" s="132">
        <f t="shared" si="16"/>
        <v>0</v>
      </c>
      <c r="J78" s="133"/>
      <c r="K78" s="134"/>
      <c r="L78" s="135"/>
      <c r="M78" s="135"/>
      <c r="N78" s="136"/>
      <c r="O78" s="137"/>
      <c r="P78" s="138"/>
      <c r="Q78" s="133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96"/>
      <c r="C79" s="76"/>
      <c r="D79" s="78"/>
      <c r="E79" s="78"/>
      <c r="F79" s="79"/>
      <c r="G79" s="80"/>
      <c r="H79" s="81"/>
      <c r="I79" s="132">
        <f t="shared" si="16"/>
        <v>0</v>
      </c>
      <c r="J79" s="133"/>
      <c r="K79" s="134"/>
      <c r="L79" s="135"/>
      <c r="M79" s="135"/>
      <c r="N79" s="136"/>
      <c r="O79" s="137"/>
      <c r="P79" s="138"/>
      <c r="Q79" s="133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</row>
    <row r="80">
      <c r="A80" s="75"/>
      <c r="B80" s="96"/>
      <c r="C80" s="76"/>
      <c r="D80" s="78"/>
      <c r="E80" s="78"/>
      <c r="F80" s="79"/>
      <c r="G80" s="80"/>
      <c r="H80" s="81"/>
      <c r="I80" s="132">
        <f t="shared" si="16"/>
        <v>0</v>
      </c>
      <c r="J80" s="133"/>
      <c r="K80" s="134"/>
      <c r="L80" s="135"/>
      <c r="M80" s="135"/>
      <c r="N80" s="136"/>
      <c r="O80" s="137"/>
      <c r="P80" s="138"/>
      <c r="Q80" s="133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98"/>
      <c r="C81" s="76"/>
      <c r="D81" s="78"/>
      <c r="E81" s="78"/>
      <c r="F81" s="79"/>
      <c r="G81" s="80"/>
      <c r="H81" s="81"/>
      <c r="I81" s="132">
        <f t="shared" si="16"/>
        <v>0</v>
      </c>
      <c r="J81" s="133"/>
      <c r="K81" s="134"/>
      <c r="L81" s="135"/>
      <c r="M81" s="135"/>
      <c r="N81" s="136"/>
      <c r="O81" s="137"/>
      <c r="P81" s="138"/>
      <c r="Q81" s="133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</row>
    <row r="82">
      <c r="A82" s="116"/>
      <c r="B82" s="117" t="s">
        <v>37</v>
      </c>
      <c r="C82" s="118"/>
      <c r="D82" s="118"/>
      <c r="E82" s="118"/>
      <c r="F82" s="118"/>
      <c r="G82" s="118"/>
      <c r="H82" s="118"/>
      <c r="I82" s="139">
        <f>SUM(I72:I81)</f>
        <v>0</v>
      </c>
      <c r="J82" s="140"/>
      <c r="K82" s="140"/>
      <c r="L82" s="140"/>
      <c r="M82" s="140"/>
      <c r="N82" s="140"/>
      <c r="O82" s="140"/>
      <c r="P82" s="140"/>
      <c r="Q82" s="141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</row>
    <row r="83">
      <c r="A83" s="60"/>
      <c r="B83" s="61" t="s">
        <v>40</v>
      </c>
      <c r="C83" s="62"/>
      <c r="D83" s="63"/>
      <c r="E83" s="63"/>
      <c r="F83" s="63"/>
      <c r="G83" s="64"/>
      <c r="H83" s="65"/>
      <c r="I83" s="126"/>
      <c r="J83" s="127"/>
      <c r="K83" s="128"/>
      <c r="L83" s="129"/>
      <c r="M83" s="129"/>
      <c r="N83" s="130"/>
      <c r="O83" s="131"/>
      <c r="P83" s="131"/>
      <c r="Q83" s="129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</row>
    <row r="84">
      <c r="A84" s="75"/>
      <c r="B84" s="13"/>
      <c r="C84" s="76"/>
      <c r="D84" s="77"/>
      <c r="E84" s="78"/>
      <c r="F84" s="79"/>
      <c r="G84" s="80"/>
      <c r="H84" s="81"/>
      <c r="I84" s="132">
        <f t="shared" ref="I84:I93" si="17">G84*H84</f>
        <v>0</v>
      </c>
      <c r="J84" s="133"/>
      <c r="K84" s="134"/>
      <c r="L84" s="135"/>
      <c r="M84" s="135"/>
      <c r="N84" s="136"/>
      <c r="O84" s="137"/>
      <c r="P84" s="138"/>
      <c r="Q84" s="133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</row>
    <row r="85">
      <c r="A85" s="75"/>
      <c r="B85" s="13"/>
      <c r="C85" s="76"/>
      <c r="D85" s="90"/>
      <c r="E85" s="91"/>
      <c r="F85" s="79"/>
      <c r="G85" s="80"/>
      <c r="H85" s="81"/>
      <c r="I85" s="132">
        <f t="shared" si="17"/>
        <v>0</v>
      </c>
      <c r="J85" s="133"/>
      <c r="K85" s="134"/>
      <c r="L85" s="135"/>
      <c r="M85" s="135"/>
      <c r="N85" s="136"/>
      <c r="O85" s="137"/>
      <c r="P85" s="138"/>
      <c r="Q85" s="133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</row>
    <row r="86">
      <c r="A86" s="75"/>
      <c r="B86" s="94"/>
      <c r="C86" s="76"/>
      <c r="D86" s="78"/>
      <c r="E86" s="78"/>
      <c r="F86" s="79"/>
      <c r="G86" s="80"/>
      <c r="H86" s="81"/>
      <c r="I86" s="132">
        <f t="shared" si="17"/>
        <v>0</v>
      </c>
      <c r="J86" s="133"/>
      <c r="K86" s="134"/>
      <c r="L86" s="135"/>
      <c r="M86" s="135"/>
      <c r="N86" s="136"/>
      <c r="O86" s="137"/>
      <c r="P86" s="138"/>
      <c r="Q86" s="133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13"/>
      <c r="C87" s="76"/>
      <c r="D87" s="78"/>
      <c r="E87" s="78"/>
      <c r="F87" s="79"/>
      <c r="G87" s="80"/>
      <c r="H87" s="81"/>
      <c r="I87" s="132">
        <f t="shared" si="17"/>
        <v>0</v>
      </c>
      <c r="J87" s="133"/>
      <c r="K87" s="134"/>
      <c r="L87" s="135"/>
      <c r="M87" s="135"/>
      <c r="N87" s="136"/>
      <c r="O87" s="137"/>
      <c r="P87" s="138"/>
      <c r="Q87" s="133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</row>
    <row r="88">
      <c r="A88" s="75"/>
      <c r="B88" s="13"/>
      <c r="C88" s="76"/>
      <c r="D88" s="78"/>
      <c r="E88" s="78"/>
      <c r="F88" s="79"/>
      <c r="G88" s="80"/>
      <c r="H88" s="81"/>
      <c r="I88" s="132">
        <f t="shared" si="17"/>
        <v>0</v>
      </c>
      <c r="J88" s="133"/>
      <c r="K88" s="134"/>
      <c r="L88" s="135"/>
      <c r="M88" s="135"/>
      <c r="N88" s="136"/>
      <c r="O88" s="137"/>
      <c r="P88" s="138"/>
      <c r="Q88" s="133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94"/>
      <c r="C89" s="76"/>
      <c r="D89" s="78"/>
      <c r="E89" s="78"/>
      <c r="F89" s="79"/>
      <c r="G89" s="80"/>
      <c r="H89" s="81"/>
      <c r="I89" s="132">
        <f t="shared" si="17"/>
        <v>0</v>
      </c>
      <c r="J89" s="133"/>
      <c r="K89" s="134"/>
      <c r="L89" s="135"/>
      <c r="M89" s="135"/>
      <c r="N89" s="136"/>
      <c r="O89" s="137"/>
      <c r="P89" s="138"/>
      <c r="Q89" s="133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</row>
    <row r="90">
      <c r="A90" s="75"/>
      <c r="B90" s="96"/>
      <c r="C90" s="76"/>
      <c r="D90" s="78"/>
      <c r="E90" s="78"/>
      <c r="F90" s="79"/>
      <c r="G90" s="80"/>
      <c r="H90" s="81"/>
      <c r="I90" s="132">
        <f t="shared" si="17"/>
        <v>0</v>
      </c>
      <c r="J90" s="133"/>
      <c r="K90" s="134"/>
      <c r="L90" s="135"/>
      <c r="M90" s="135"/>
      <c r="N90" s="136"/>
      <c r="O90" s="137"/>
      <c r="P90" s="138"/>
      <c r="Q90" s="133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96"/>
      <c r="C91" s="76"/>
      <c r="D91" s="78"/>
      <c r="E91" s="78"/>
      <c r="F91" s="79"/>
      <c r="G91" s="80"/>
      <c r="H91" s="81"/>
      <c r="I91" s="132">
        <f t="shared" si="17"/>
        <v>0</v>
      </c>
      <c r="J91" s="133"/>
      <c r="K91" s="134"/>
      <c r="L91" s="135"/>
      <c r="M91" s="135"/>
      <c r="N91" s="136"/>
      <c r="O91" s="137"/>
      <c r="P91" s="138"/>
      <c r="Q91" s="133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96"/>
      <c r="C92" s="76"/>
      <c r="D92" s="78"/>
      <c r="E92" s="78"/>
      <c r="F92" s="79"/>
      <c r="G92" s="80"/>
      <c r="H92" s="81"/>
      <c r="I92" s="132">
        <f t="shared" si="17"/>
        <v>0</v>
      </c>
      <c r="J92" s="133"/>
      <c r="K92" s="134"/>
      <c r="L92" s="135"/>
      <c r="M92" s="135"/>
      <c r="N92" s="136"/>
      <c r="O92" s="137"/>
      <c r="P92" s="138"/>
      <c r="Q92" s="133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98"/>
      <c r="C93" s="76"/>
      <c r="D93" s="78"/>
      <c r="E93" s="78"/>
      <c r="F93" s="79"/>
      <c r="G93" s="80"/>
      <c r="H93" s="81"/>
      <c r="I93" s="132">
        <f t="shared" si="17"/>
        <v>0</v>
      </c>
      <c r="J93" s="133"/>
      <c r="K93" s="134"/>
      <c r="L93" s="135"/>
      <c r="M93" s="135"/>
      <c r="N93" s="136"/>
      <c r="O93" s="137"/>
      <c r="P93" s="138"/>
      <c r="Q93" s="133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</row>
    <row r="94">
      <c r="A94" s="116"/>
      <c r="B94" s="117" t="s">
        <v>37</v>
      </c>
      <c r="C94" s="118"/>
      <c r="D94" s="118"/>
      <c r="E94" s="118"/>
      <c r="F94" s="118"/>
      <c r="G94" s="118"/>
      <c r="H94" s="118"/>
      <c r="I94" s="139">
        <f>SUM(I84:I93)</f>
        <v>0</v>
      </c>
      <c r="J94" s="140"/>
      <c r="K94" s="140"/>
      <c r="L94" s="140"/>
      <c r="M94" s="140"/>
      <c r="N94" s="140"/>
      <c r="O94" s="140"/>
      <c r="P94" s="140"/>
      <c r="Q94" s="141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</row>
    <row r="95">
      <c r="A95" s="60"/>
      <c r="B95" s="61" t="s">
        <v>41</v>
      </c>
      <c r="C95" s="62"/>
      <c r="D95" s="63"/>
      <c r="E95" s="63"/>
      <c r="F95" s="63"/>
      <c r="G95" s="64"/>
      <c r="H95" s="65"/>
      <c r="I95" s="126"/>
      <c r="J95" s="127"/>
      <c r="K95" s="128"/>
      <c r="L95" s="129"/>
      <c r="M95" s="129"/>
      <c r="N95" s="130"/>
      <c r="O95" s="131"/>
      <c r="P95" s="131"/>
      <c r="Q95" s="129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13"/>
      <c r="C96" s="76"/>
      <c r="D96" s="77"/>
      <c r="E96" s="78"/>
      <c r="F96" s="79"/>
      <c r="G96" s="80"/>
      <c r="H96" s="81"/>
      <c r="I96" s="132">
        <f t="shared" ref="I96:I105" si="18">G96*H96</f>
        <v>0</v>
      </c>
      <c r="J96" s="133"/>
      <c r="K96" s="134"/>
      <c r="L96" s="135"/>
      <c r="M96" s="135"/>
      <c r="N96" s="136"/>
      <c r="O96" s="137"/>
      <c r="P96" s="138"/>
      <c r="Q96" s="133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13"/>
      <c r="C97" s="76"/>
      <c r="D97" s="90"/>
      <c r="E97" s="91"/>
      <c r="F97" s="79"/>
      <c r="G97" s="80"/>
      <c r="H97" s="81"/>
      <c r="I97" s="132">
        <f t="shared" si="18"/>
        <v>0</v>
      </c>
      <c r="J97" s="133"/>
      <c r="K97" s="134"/>
      <c r="L97" s="135"/>
      <c r="M97" s="135"/>
      <c r="N97" s="136"/>
      <c r="O97" s="137"/>
      <c r="P97" s="138"/>
      <c r="Q97" s="133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94"/>
      <c r="C98" s="76"/>
      <c r="D98" s="78"/>
      <c r="E98" s="78"/>
      <c r="F98" s="79"/>
      <c r="G98" s="80"/>
      <c r="H98" s="81"/>
      <c r="I98" s="132">
        <f t="shared" si="18"/>
        <v>0</v>
      </c>
      <c r="J98" s="133"/>
      <c r="K98" s="134"/>
      <c r="L98" s="135"/>
      <c r="M98" s="135"/>
      <c r="N98" s="136"/>
      <c r="O98" s="137"/>
      <c r="P98" s="138"/>
      <c r="Q98" s="133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13"/>
      <c r="C99" s="76"/>
      <c r="D99" s="78"/>
      <c r="E99" s="78"/>
      <c r="F99" s="79"/>
      <c r="G99" s="80"/>
      <c r="H99" s="81"/>
      <c r="I99" s="132">
        <f t="shared" si="18"/>
        <v>0</v>
      </c>
      <c r="J99" s="133"/>
      <c r="K99" s="134"/>
      <c r="L99" s="135"/>
      <c r="M99" s="135"/>
      <c r="N99" s="136"/>
      <c r="O99" s="137"/>
      <c r="P99" s="138"/>
      <c r="Q99" s="133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13"/>
      <c r="C100" s="76"/>
      <c r="D100" s="78"/>
      <c r="E100" s="78"/>
      <c r="F100" s="79"/>
      <c r="G100" s="80"/>
      <c r="H100" s="81"/>
      <c r="I100" s="132">
        <f t="shared" si="18"/>
        <v>0</v>
      </c>
      <c r="J100" s="133"/>
      <c r="K100" s="134"/>
      <c r="L100" s="135"/>
      <c r="M100" s="135"/>
      <c r="N100" s="136"/>
      <c r="O100" s="137"/>
      <c r="P100" s="138"/>
      <c r="Q100" s="133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94"/>
      <c r="C101" s="76"/>
      <c r="D101" s="78"/>
      <c r="E101" s="78"/>
      <c r="F101" s="79"/>
      <c r="G101" s="80"/>
      <c r="H101" s="81"/>
      <c r="I101" s="132">
        <f t="shared" si="18"/>
        <v>0</v>
      </c>
      <c r="J101" s="133"/>
      <c r="K101" s="134"/>
      <c r="L101" s="135"/>
      <c r="M101" s="135"/>
      <c r="N101" s="136"/>
      <c r="O101" s="137"/>
      <c r="P101" s="138"/>
      <c r="Q101" s="133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96"/>
      <c r="C102" s="76"/>
      <c r="D102" s="78"/>
      <c r="E102" s="78"/>
      <c r="F102" s="79"/>
      <c r="G102" s="80"/>
      <c r="H102" s="81"/>
      <c r="I102" s="132">
        <f t="shared" si="18"/>
        <v>0</v>
      </c>
      <c r="J102" s="133"/>
      <c r="K102" s="134"/>
      <c r="L102" s="135"/>
      <c r="M102" s="135"/>
      <c r="N102" s="136"/>
      <c r="O102" s="137"/>
      <c r="P102" s="138"/>
      <c r="Q102" s="133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96"/>
      <c r="C103" s="76"/>
      <c r="D103" s="78"/>
      <c r="E103" s="78"/>
      <c r="F103" s="79"/>
      <c r="G103" s="80"/>
      <c r="H103" s="81"/>
      <c r="I103" s="132">
        <f t="shared" si="18"/>
        <v>0</v>
      </c>
      <c r="J103" s="133"/>
      <c r="K103" s="134"/>
      <c r="L103" s="135"/>
      <c r="M103" s="135"/>
      <c r="N103" s="136"/>
      <c r="O103" s="137"/>
      <c r="P103" s="138"/>
      <c r="Q103" s="133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96"/>
      <c r="C104" s="76"/>
      <c r="D104" s="78"/>
      <c r="E104" s="78"/>
      <c r="F104" s="79"/>
      <c r="G104" s="80"/>
      <c r="H104" s="81"/>
      <c r="I104" s="132">
        <f t="shared" si="18"/>
        <v>0</v>
      </c>
      <c r="J104" s="133"/>
      <c r="K104" s="134"/>
      <c r="L104" s="135"/>
      <c r="M104" s="135"/>
      <c r="N104" s="136"/>
      <c r="O104" s="137"/>
      <c r="P104" s="138"/>
      <c r="Q104" s="133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98"/>
      <c r="C105" s="76"/>
      <c r="D105" s="78"/>
      <c r="E105" s="78"/>
      <c r="F105" s="79"/>
      <c r="G105" s="80"/>
      <c r="H105" s="81"/>
      <c r="I105" s="132">
        <f t="shared" si="18"/>
        <v>0</v>
      </c>
      <c r="J105" s="133"/>
      <c r="K105" s="134"/>
      <c r="L105" s="135"/>
      <c r="M105" s="135"/>
      <c r="N105" s="136"/>
      <c r="O105" s="137"/>
      <c r="P105" s="138"/>
      <c r="Q105" s="133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</row>
    <row r="106">
      <c r="A106" s="116"/>
      <c r="B106" s="117" t="s">
        <v>37</v>
      </c>
      <c r="C106" s="118"/>
      <c r="D106" s="118"/>
      <c r="E106" s="118"/>
      <c r="F106" s="118"/>
      <c r="G106" s="118"/>
      <c r="H106" s="118"/>
      <c r="I106" s="139">
        <f>SUM(I96:I105)</f>
        <v>0</v>
      </c>
      <c r="J106" s="140"/>
      <c r="K106" s="140"/>
      <c r="L106" s="140"/>
      <c r="M106" s="142" t="s">
        <v>42</v>
      </c>
      <c r="N106" s="142" t="s">
        <v>28</v>
      </c>
      <c r="O106" s="142" t="s">
        <v>43</v>
      </c>
      <c r="P106" s="142" t="s">
        <v>44</v>
      </c>
      <c r="Q106" s="141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</row>
    <row r="107">
      <c r="A107" s="116"/>
      <c r="B107" s="140"/>
      <c r="C107" s="140"/>
      <c r="D107" s="140"/>
      <c r="E107" s="140"/>
      <c r="F107" s="140"/>
      <c r="G107" s="140"/>
      <c r="H107" s="140"/>
      <c r="I107" s="143"/>
      <c r="J107" s="140"/>
      <c r="K107" s="140"/>
      <c r="L107" s="144" t="s">
        <v>45</v>
      </c>
      <c r="M107" s="145">
        <f>I108</f>
        <v>0</v>
      </c>
      <c r="N107" s="146"/>
      <c r="O107" s="147"/>
      <c r="P107" s="148"/>
      <c r="Q107" s="149"/>
      <c r="R107" s="149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</row>
    <row r="108">
      <c r="A108" s="150"/>
      <c r="B108" s="140"/>
      <c r="C108" s="140"/>
      <c r="D108" s="140"/>
      <c r="E108" s="140"/>
      <c r="F108" s="151"/>
      <c r="G108" s="152" t="s">
        <v>45</v>
      </c>
      <c r="H108" s="153"/>
      <c r="I108" s="154">
        <f>I58+I70+I82+I94+I106</f>
        <v>0</v>
      </c>
      <c r="J108" s="155"/>
      <c r="K108" s="156"/>
      <c r="L108" s="157" t="s">
        <v>22</v>
      </c>
      <c r="M108" s="158">
        <f t="shared" ref="M108:N108" si="19">O58</f>
        <v>0</v>
      </c>
      <c r="N108" s="158">
        <f t="shared" si="19"/>
        <v>0</v>
      </c>
      <c r="O108" s="159">
        <f>M108-N108</f>
        <v>0</v>
      </c>
      <c r="P108" s="160">
        <f t="shared" ref="P108:P109" si="20">IFERROR(O108/M108,0)</f>
        <v>0</v>
      </c>
      <c r="Q108" s="149"/>
      <c r="R108" s="14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</row>
    <row r="109">
      <c r="A109" s="15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57" t="s">
        <v>46</v>
      </c>
      <c r="M109" s="161">
        <f>M107-M108</f>
        <v>0</v>
      </c>
      <c r="N109" s="158">
        <f>M107-N108</f>
        <v>0</v>
      </c>
      <c r="O109" s="159">
        <f>N109-M109</f>
        <v>0</v>
      </c>
      <c r="P109" s="160">
        <f t="shared" si="20"/>
        <v>0</v>
      </c>
      <c r="Q109" s="149"/>
      <c r="R109" s="14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</row>
    <row r="110">
      <c r="A110" s="17"/>
      <c r="B110" s="140"/>
      <c r="C110" s="140"/>
      <c r="D110" s="140"/>
      <c r="E110" s="140"/>
      <c r="F110" s="140"/>
      <c r="G110" s="140"/>
      <c r="H110" s="162"/>
      <c r="I110" s="163"/>
      <c r="J110" s="140"/>
      <c r="K110" s="140"/>
      <c r="L110" s="157" t="s">
        <v>47</v>
      </c>
      <c r="M110" s="164" t="str">
        <f>M109/I108</f>
        <v>#DIV/0!</v>
      </c>
      <c r="N110" s="165" t="str">
        <f>N109/I108</f>
        <v>#DIV/0!</v>
      </c>
      <c r="O110" s="166"/>
      <c r="P110" s="167"/>
      <c r="Q110" s="149"/>
      <c r="R110" s="14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</row>
    <row r="111" ht="15.75" customHeight="1">
      <c r="A111" s="168"/>
      <c r="B111" s="169"/>
      <c r="C111" s="169"/>
      <c r="D111" s="169"/>
      <c r="E111" s="169"/>
      <c r="F111" s="169"/>
      <c r="G111" s="169"/>
      <c r="H111" s="170"/>
      <c r="I111" s="171"/>
      <c r="J111" s="169"/>
      <c r="K111" s="169"/>
      <c r="L111" s="172"/>
      <c r="M111" s="172"/>
      <c r="N111" s="173"/>
      <c r="O111" s="174"/>
      <c r="P111" s="174"/>
      <c r="Q111" s="17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74"/>
      <c r="B112" s="169"/>
      <c r="C112" s="169"/>
      <c r="D112" s="169"/>
      <c r="E112" s="169"/>
      <c r="F112" s="169"/>
      <c r="G112" s="169"/>
      <c r="H112" s="175"/>
      <c r="I112" s="163"/>
      <c r="J112" s="163"/>
      <c r="K112" s="8"/>
      <c r="L112" s="7"/>
      <c r="M112" s="8"/>
      <c r="N112" s="9"/>
      <c r="O112" s="10"/>
      <c r="P112" s="10"/>
      <c r="Q112" s="163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74"/>
      <c r="B113" s="169"/>
      <c r="C113" s="169"/>
      <c r="D113" s="169"/>
      <c r="E113" s="169"/>
      <c r="F113" s="169"/>
      <c r="G113" s="169"/>
      <c r="H113" s="175"/>
      <c r="I113" s="163"/>
      <c r="J113" s="163"/>
      <c r="K113" s="8"/>
      <c r="L113" s="7"/>
      <c r="M113" s="8"/>
      <c r="N113" s="9"/>
      <c r="O113" s="10"/>
      <c r="P113" s="10"/>
      <c r="Q113" s="163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74"/>
      <c r="B114" s="169"/>
      <c r="C114" s="169"/>
      <c r="D114" s="169"/>
      <c r="E114" s="169"/>
      <c r="F114" s="169"/>
      <c r="G114" s="169"/>
      <c r="H114" s="175"/>
      <c r="I114" s="163"/>
      <c r="J114" s="163"/>
      <c r="K114" s="8"/>
      <c r="L114" s="7"/>
      <c r="M114" s="8"/>
      <c r="N114" s="9"/>
      <c r="O114" s="10"/>
      <c r="P114" s="10"/>
      <c r="Q114" s="163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74"/>
      <c r="B115" s="169"/>
      <c r="C115" s="169"/>
      <c r="D115" s="169"/>
      <c r="E115" s="169"/>
      <c r="F115" s="169"/>
      <c r="G115" s="169"/>
      <c r="H115" s="175"/>
      <c r="I115" s="163"/>
      <c r="J115" s="163"/>
      <c r="K115" s="8"/>
      <c r="L115" s="7"/>
      <c r="M115" s="8"/>
      <c r="N115" s="9"/>
      <c r="O115" s="10"/>
      <c r="P115" s="10"/>
      <c r="Q115" s="163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74"/>
      <c r="B116" s="169"/>
      <c r="C116" s="169"/>
      <c r="D116" s="169"/>
      <c r="E116" s="169"/>
      <c r="F116" s="169"/>
      <c r="G116" s="169"/>
      <c r="H116" s="175"/>
      <c r="I116" s="163"/>
      <c r="J116" s="163"/>
      <c r="K116" s="8"/>
      <c r="L116" s="7"/>
      <c r="M116" s="8"/>
      <c r="N116" s="9"/>
      <c r="O116" s="10"/>
      <c r="P116" s="10"/>
      <c r="Q116" s="163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74"/>
      <c r="B117" s="74"/>
      <c r="C117" s="176"/>
      <c r="D117" s="177"/>
      <c r="E117" s="177"/>
      <c r="F117" s="177"/>
      <c r="G117" s="8"/>
      <c r="H117" s="175"/>
      <c r="I117" s="163"/>
      <c r="J117" s="163"/>
      <c r="K117" s="8"/>
      <c r="L117" s="7"/>
      <c r="M117" s="8"/>
      <c r="N117" s="9"/>
      <c r="O117" s="10"/>
      <c r="P117" s="10"/>
      <c r="Q117" s="163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74"/>
      <c r="B118" s="74"/>
      <c r="C118" s="176"/>
      <c r="D118" s="177"/>
      <c r="E118" s="177"/>
      <c r="F118" s="177"/>
      <c r="G118" s="8"/>
      <c r="H118" s="175"/>
      <c r="I118" s="163"/>
      <c r="J118" s="163"/>
      <c r="K118" s="8"/>
      <c r="L118" s="7"/>
      <c r="M118" s="8"/>
      <c r="N118" s="9"/>
      <c r="O118" s="10"/>
      <c r="P118" s="10"/>
      <c r="Q118" s="163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74"/>
      <c r="B119" s="74"/>
      <c r="C119" s="176"/>
      <c r="D119" s="177"/>
      <c r="E119" s="177"/>
      <c r="F119" s="177"/>
      <c r="G119" s="8"/>
      <c r="H119" s="175"/>
      <c r="I119" s="163"/>
      <c r="J119" s="163"/>
      <c r="K119" s="8"/>
      <c r="L119" s="7"/>
      <c r="M119" s="8"/>
      <c r="N119" s="9"/>
      <c r="O119" s="10"/>
      <c r="P119" s="10"/>
      <c r="Q119" s="163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74"/>
      <c r="B120" s="74"/>
      <c r="C120" s="176"/>
      <c r="D120" s="177"/>
      <c r="E120" s="177"/>
      <c r="F120" s="177"/>
      <c r="G120" s="8"/>
      <c r="H120" s="175"/>
      <c r="I120" s="163"/>
      <c r="J120" s="163"/>
      <c r="K120" s="8"/>
      <c r="L120" s="7"/>
      <c r="M120" s="8"/>
      <c r="N120" s="9"/>
      <c r="O120" s="10"/>
      <c r="P120" s="10"/>
      <c r="Q120" s="163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74"/>
      <c r="B121" s="74"/>
      <c r="C121" s="176"/>
      <c r="D121" s="177"/>
      <c r="E121" s="177"/>
      <c r="F121" s="177"/>
      <c r="G121" s="8"/>
      <c r="H121" s="175"/>
      <c r="I121" s="163"/>
      <c r="J121" s="163"/>
      <c r="K121" s="8"/>
      <c r="L121" s="7"/>
      <c r="M121" s="8"/>
      <c r="N121" s="9"/>
      <c r="O121" s="10"/>
      <c r="P121" s="10"/>
      <c r="Q121" s="163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74"/>
      <c r="B122" s="74"/>
      <c r="C122" s="176"/>
      <c r="D122" s="177"/>
      <c r="E122" s="177"/>
      <c r="F122" s="177"/>
      <c r="G122" s="8"/>
      <c r="H122" s="175"/>
      <c r="I122" s="163"/>
      <c r="J122" s="163"/>
      <c r="K122" s="8"/>
      <c r="L122" s="7"/>
      <c r="M122" s="8"/>
      <c r="N122" s="9"/>
      <c r="O122" s="10"/>
      <c r="P122" s="10"/>
      <c r="Q122" s="163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74"/>
      <c r="B123" s="74"/>
      <c r="C123" s="176"/>
      <c r="D123" s="177"/>
      <c r="E123" s="177"/>
      <c r="F123" s="177"/>
      <c r="G123" s="8"/>
      <c r="H123" s="175"/>
      <c r="I123" s="163"/>
      <c r="J123" s="163"/>
      <c r="K123" s="8"/>
      <c r="L123" s="7"/>
      <c r="M123" s="8"/>
      <c r="N123" s="9"/>
      <c r="O123" s="10"/>
      <c r="P123" s="10"/>
      <c r="Q123" s="163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74"/>
      <c r="B124" s="74"/>
      <c r="C124" s="176"/>
      <c r="D124" s="177"/>
      <c r="E124" s="177"/>
      <c r="F124" s="177"/>
      <c r="G124" s="8"/>
      <c r="H124" s="175"/>
      <c r="I124" s="163"/>
      <c r="J124" s="163"/>
      <c r="K124" s="8"/>
      <c r="L124" s="7"/>
      <c r="M124" s="8"/>
      <c r="N124" s="9"/>
      <c r="O124" s="10"/>
      <c r="P124" s="10"/>
      <c r="Q124" s="163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74"/>
      <c r="B125" s="74"/>
      <c r="C125" s="176"/>
      <c r="D125" s="177"/>
      <c r="E125" s="177"/>
      <c r="F125" s="177"/>
      <c r="G125" s="8"/>
      <c r="H125" s="175"/>
      <c r="I125" s="163"/>
      <c r="J125" s="163"/>
      <c r="K125" s="8"/>
      <c r="L125" s="7"/>
      <c r="M125" s="8"/>
      <c r="N125" s="9"/>
      <c r="O125" s="10"/>
      <c r="P125" s="10"/>
      <c r="Q125" s="163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74"/>
      <c r="B126" s="74"/>
      <c r="C126" s="176"/>
      <c r="D126" s="177"/>
      <c r="E126" s="177"/>
      <c r="F126" s="177"/>
      <c r="G126" s="8"/>
      <c r="H126" s="175"/>
      <c r="I126" s="163"/>
      <c r="J126" s="163"/>
      <c r="K126" s="8"/>
      <c r="L126" s="7"/>
      <c r="M126" s="8"/>
      <c r="N126" s="9"/>
      <c r="O126" s="10"/>
      <c r="P126" s="10"/>
      <c r="Q126" s="163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74"/>
      <c r="B127" s="74"/>
      <c r="C127" s="176"/>
      <c r="D127" s="177"/>
      <c r="E127" s="177"/>
      <c r="F127" s="177"/>
      <c r="G127" s="8"/>
      <c r="H127" s="175"/>
      <c r="I127" s="163"/>
      <c r="J127" s="163"/>
      <c r="K127" s="8"/>
      <c r="L127" s="7"/>
      <c r="M127" s="8"/>
      <c r="N127" s="9"/>
      <c r="O127" s="10"/>
      <c r="P127" s="10"/>
      <c r="Q127" s="163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74"/>
      <c r="B128" s="74"/>
      <c r="C128" s="176"/>
      <c r="D128" s="177"/>
      <c r="E128" s="177"/>
      <c r="F128" s="177"/>
      <c r="G128" s="8"/>
      <c r="H128" s="175"/>
      <c r="I128" s="163"/>
      <c r="J128" s="163"/>
      <c r="K128" s="8"/>
      <c r="L128" s="7"/>
      <c r="M128" s="8"/>
      <c r="N128" s="9"/>
      <c r="O128" s="10"/>
      <c r="P128" s="10"/>
      <c r="Q128" s="163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74"/>
      <c r="B129" s="74"/>
      <c r="C129" s="176"/>
      <c r="D129" s="177"/>
      <c r="E129" s="177"/>
      <c r="F129" s="177"/>
      <c r="G129" s="8"/>
      <c r="H129" s="175"/>
      <c r="I129" s="163"/>
      <c r="J129" s="163"/>
      <c r="K129" s="8"/>
      <c r="L129" s="7"/>
      <c r="M129" s="8"/>
      <c r="N129" s="9"/>
      <c r="O129" s="10"/>
      <c r="P129" s="10"/>
      <c r="Q129" s="163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3.5" customHeight="1">
      <c r="A130" s="74"/>
      <c r="B130" s="74"/>
      <c r="C130" s="176"/>
      <c r="D130" s="177"/>
      <c r="E130" s="177"/>
      <c r="F130" s="177"/>
      <c r="G130" s="8"/>
      <c r="H130" s="175"/>
      <c r="I130" s="163"/>
      <c r="J130" s="163"/>
      <c r="K130" s="8"/>
      <c r="L130" s="7"/>
      <c r="M130" s="8"/>
      <c r="N130" s="9"/>
      <c r="O130" s="10"/>
      <c r="P130" s="10"/>
      <c r="Q130" s="163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3.5" customHeight="1">
      <c r="A131" s="74"/>
      <c r="B131" s="74"/>
      <c r="C131" s="176"/>
      <c r="D131" s="177"/>
      <c r="E131" s="177"/>
      <c r="F131" s="177"/>
      <c r="G131" s="8"/>
      <c r="H131" s="175"/>
      <c r="I131" s="163"/>
      <c r="J131" s="163"/>
      <c r="K131" s="8"/>
      <c r="L131" s="7"/>
      <c r="M131" s="8"/>
      <c r="N131" s="9"/>
      <c r="O131" s="10"/>
      <c r="P131" s="10"/>
      <c r="Q131" s="163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3.5" customHeight="1">
      <c r="A132" s="74"/>
      <c r="B132" s="74"/>
      <c r="C132" s="176"/>
      <c r="D132" s="177"/>
      <c r="E132" s="177"/>
      <c r="F132" s="177"/>
      <c r="G132" s="8"/>
      <c r="H132" s="175"/>
      <c r="I132" s="163"/>
      <c r="J132" s="163"/>
      <c r="K132" s="8"/>
      <c r="L132" s="7"/>
      <c r="M132" s="8"/>
      <c r="N132" s="9"/>
      <c r="O132" s="10"/>
      <c r="P132" s="10"/>
      <c r="Q132" s="163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3.5" customHeight="1">
      <c r="A133" s="74"/>
      <c r="B133" s="74"/>
      <c r="C133" s="176"/>
      <c r="D133" s="177"/>
      <c r="E133" s="177"/>
      <c r="F133" s="177"/>
      <c r="G133" s="8"/>
      <c r="H133" s="175"/>
      <c r="I133" s="163"/>
      <c r="J133" s="163"/>
      <c r="K133" s="8"/>
      <c r="L133" s="7"/>
      <c r="M133" s="8"/>
      <c r="N133" s="9"/>
      <c r="O133" s="10"/>
      <c r="P133" s="10"/>
      <c r="Q133" s="163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3.5" customHeight="1">
      <c r="A134" s="74"/>
      <c r="B134" s="74"/>
      <c r="C134" s="176"/>
      <c r="D134" s="177"/>
      <c r="E134" s="177"/>
      <c r="F134" s="177"/>
      <c r="G134" s="8"/>
      <c r="H134" s="175"/>
      <c r="I134" s="163"/>
      <c r="J134" s="163"/>
      <c r="K134" s="8"/>
      <c r="L134" s="7"/>
      <c r="M134" s="8"/>
      <c r="N134" s="9"/>
      <c r="O134" s="10"/>
      <c r="P134" s="10"/>
      <c r="Q134" s="163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3.5" customHeight="1">
      <c r="A135" s="74"/>
      <c r="B135" s="74"/>
      <c r="C135" s="176"/>
      <c r="D135" s="177"/>
      <c r="E135" s="177"/>
      <c r="F135" s="177"/>
      <c r="G135" s="8"/>
      <c r="H135" s="175"/>
      <c r="I135" s="163"/>
      <c r="J135" s="163"/>
      <c r="K135" s="8"/>
      <c r="L135" s="7"/>
      <c r="M135" s="8"/>
      <c r="N135" s="9"/>
      <c r="O135" s="10"/>
      <c r="P135" s="10"/>
      <c r="Q135" s="163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3.5" customHeight="1">
      <c r="A136" s="74"/>
      <c r="B136" s="74"/>
      <c r="C136" s="176"/>
      <c r="D136" s="177"/>
      <c r="E136" s="177"/>
      <c r="F136" s="177"/>
      <c r="G136" s="8"/>
      <c r="H136" s="175"/>
      <c r="I136" s="163"/>
      <c r="J136" s="163"/>
      <c r="K136" s="8"/>
      <c r="L136" s="7"/>
      <c r="M136" s="8"/>
      <c r="N136" s="9"/>
      <c r="O136" s="10"/>
      <c r="P136" s="10"/>
      <c r="Q136" s="163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3.5" customHeight="1">
      <c r="A137" s="74"/>
      <c r="B137" s="74"/>
      <c r="C137" s="176"/>
      <c r="D137" s="177"/>
      <c r="E137" s="177"/>
      <c r="F137" s="177"/>
      <c r="G137" s="8"/>
      <c r="H137" s="175"/>
      <c r="I137" s="163"/>
      <c r="J137" s="163"/>
      <c r="K137" s="8"/>
      <c r="L137" s="7"/>
      <c r="M137" s="8"/>
      <c r="N137" s="9"/>
      <c r="O137" s="10"/>
      <c r="P137" s="10"/>
      <c r="Q137" s="163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3.5" customHeight="1">
      <c r="A138" s="74"/>
      <c r="B138" s="74"/>
      <c r="C138" s="176"/>
      <c r="D138" s="177"/>
      <c r="E138" s="177"/>
      <c r="F138" s="177"/>
      <c r="G138" s="8"/>
      <c r="H138" s="175"/>
      <c r="I138" s="163"/>
      <c r="J138" s="163"/>
      <c r="K138" s="8"/>
      <c r="L138" s="7"/>
      <c r="M138" s="8"/>
      <c r="N138" s="9"/>
      <c r="O138" s="10"/>
      <c r="P138" s="10"/>
      <c r="Q138" s="163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3.5" customHeight="1">
      <c r="A139" s="74"/>
      <c r="B139" s="74"/>
      <c r="C139" s="176"/>
      <c r="D139" s="177"/>
      <c r="E139" s="177"/>
      <c r="F139" s="177"/>
      <c r="G139" s="8"/>
      <c r="H139" s="175"/>
      <c r="I139" s="163"/>
      <c r="J139" s="163"/>
      <c r="K139" s="8"/>
      <c r="L139" s="7"/>
      <c r="M139" s="8"/>
      <c r="N139" s="9"/>
      <c r="O139" s="10"/>
      <c r="P139" s="10"/>
      <c r="Q139" s="163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3.5" customHeight="1">
      <c r="A140" s="74"/>
      <c r="B140" s="74"/>
      <c r="C140" s="176"/>
      <c r="D140" s="177"/>
      <c r="E140" s="177"/>
      <c r="F140" s="177"/>
      <c r="G140" s="8"/>
      <c r="H140" s="175"/>
      <c r="I140" s="163"/>
      <c r="J140" s="163"/>
      <c r="K140" s="8"/>
      <c r="L140" s="7"/>
      <c r="M140" s="8"/>
      <c r="N140" s="9"/>
      <c r="O140" s="10"/>
      <c r="P140" s="10"/>
      <c r="Q140" s="163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3.5" customHeight="1">
      <c r="A141" s="74"/>
      <c r="B141" s="74"/>
      <c r="C141" s="176"/>
      <c r="D141" s="177"/>
      <c r="E141" s="177"/>
      <c r="F141" s="177"/>
      <c r="G141" s="8"/>
      <c r="H141" s="175"/>
      <c r="I141" s="163"/>
      <c r="J141" s="163"/>
      <c r="K141" s="8"/>
      <c r="L141" s="7"/>
      <c r="M141" s="8"/>
      <c r="N141" s="9"/>
      <c r="O141" s="10"/>
      <c r="P141" s="10"/>
      <c r="Q141" s="163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3.5" customHeight="1">
      <c r="A142" s="74"/>
      <c r="B142" s="74"/>
      <c r="C142" s="176"/>
      <c r="D142" s="177"/>
      <c r="E142" s="177"/>
      <c r="F142" s="177"/>
      <c r="G142" s="8"/>
      <c r="H142" s="175"/>
      <c r="I142" s="163"/>
      <c r="J142" s="163"/>
      <c r="K142" s="8"/>
      <c r="L142" s="7"/>
      <c r="M142" s="8"/>
      <c r="N142" s="9"/>
      <c r="O142" s="10"/>
      <c r="P142" s="10"/>
      <c r="Q142" s="163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3.5" customHeight="1">
      <c r="A143" s="74"/>
      <c r="B143" s="74"/>
      <c r="C143" s="176"/>
      <c r="D143" s="177"/>
      <c r="E143" s="177"/>
      <c r="F143" s="177"/>
      <c r="G143" s="8"/>
      <c r="H143" s="175"/>
      <c r="I143" s="163"/>
      <c r="J143" s="163"/>
      <c r="K143" s="8"/>
      <c r="L143" s="7"/>
      <c r="M143" s="8"/>
      <c r="N143" s="9"/>
      <c r="O143" s="10"/>
      <c r="P143" s="10"/>
      <c r="Q143" s="163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3.5" customHeight="1">
      <c r="A144" s="74"/>
      <c r="B144" s="74"/>
      <c r="C144" s="176"/>
      <c r="D144" s="177"/>
      <c r="E144" s="177"/>
      <c r="F144" s="177"/>
      <c r="G144" s="8"/>
      <c r="H144" s="175"/>
      <c r="I144" s="163"/>
      <c r="J144" s="163"/>
      <c r="K144" s="8"/>
      <c r="L144" s="7"/>
      <c r="M144" s="8"/>
      <c r="N144" s="9"/>
      <c r="O144" s="10"/>
      <c r="P144" s="10"/>
      <c r="Q144" s="163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3.5" customHeight="1">
      <c r="A145" s="74"/>
      <c r="B145" s="74"/>
      <c r="C145" s="176"/>
      <c r="D145" s="177"/>
      <c r="E145" s="177"/>
      <c r="F145" s="177"/>
      <c r="G145" s="8"/>
      <c r="H145" s="175"/>
      <c r="I145" s="163"/>
      <c r="J145" s="163"/>
      <c r="K145" s="8"/>
      <c r="L145" s="7"/>
      <c r="M145" s="8"/>
      <c r="N145" s="9"/>
      <c r="O145" s="10"/>
      <c r="P145" s="10"/>
      <c r="Q145" s="163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3.5" customHeight="1">
      <c r="A146" s="74"/>
      <c r="B146" s="74"/>
      <c r="C146" s="176"/>
      <c r="D146" s="177"/>
      <c r="E146" s="177"/>
      <c r="F146" s="177"/>
      <c r="G146" s="8"/>
      <c r="H146" s="175"/>
      <c r="I146" s="163"/>
      <c r="J146" s="163"/>
      <c r="K146" s="8"/>
      <c r="L146" s="7"/>
      <c r="M146" s="8"/>
      <c r="N146" s="9"/>
      <c r="O146" s="10"/>
      <c r="P146" s="10"/>
      <c r="Q146" s="163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3.5" customHeight="1">
      <c r="A147" s="74"/>
      <c r="B147" s="74"/>
      <c r="C147" s="176"/>
      <c r="D147" s="177"/>
      <c r="E147" s="177"/>
      <c r="F147" s="177"/>
      <c r="G147" s="8"/>
      <c r="H147" s="175"/>
      <c r="I147" s="163"/>
      <c r="J147" s="163"/>
      <c r="K147" s="8"/>
      <c r="L147" s="7"/>
      <c r="M147" s="8"/>
      <c r="N147" s="9"/>
      <c r="O147" s="10"/>
      <c r="P147" s="10"/>
      <c r="Q147" s="163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3.5" customHeight="1">
      <c r="A148" s="74"/>
      <c r="B148" s="74"/>
      <c r="C148" s="176"/>
      <c r="D148" s="177"/>
      <c r="E148" s="177"/>
      <c r="F148" s="177"/>
      <c r="G148" s="8"/>
      <c r="H148" s="175"/>
      <c r="I148" s="163"/>
      <c r="J148" s="163"/>
      <c r="K148" s="8"/>
      <c r="L148" s="7"/>
      <c r="M148" s="8"/>
      <c r="N148" s="9"/>
      <c r="O148" s="10"/>
      <c r="P148" s="10"/>
      <c r="Q148" s="163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3.5" customHeight="1">
      <c r="A149" s="74"/>
      <c r="B149" s="74"/>
      <c r="C149" s="176"/>
      <c r="D149" s="177"/>
      <c r="E149" s="177"/>
      <c r="F149" s="177"/>
      <c r="G149" s="8"/>
      <c r="H149" s="175"/>
      <c r="I149" s="163"/>
      <c r="J149" s="163"/>
      <c r="K149" s="8"/>
      <c r="L149" s="7"/>
      <c r="M149" s="8"/>
      <c r="N149" s="9"/>
      <c r="O149" s="10"/>
      <c r="P149" s="10"/>
      <c r="Q149" s="163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3.5" customHeight="1">
      <c r="A150" s="74"/>
      <c r="B150" s="74"/>
      <c r="C150" s="176"/>
      <c r="D150" s="177"/>
      <c r="E150" s="177"/>
      <c r="F150" s="177"/>
      <c r="G150" s="8"/>
      <c r="H150" s="175"/>
      <c r="I150" s="163"/>
      <c r="J150" s="163"/>
      <c r="K150" s="8"/>
      <c r="L150" s="7"/>
      <c r="M150" s="8"/>
      <c r="N150" s="9"/>
      <c r="O150" s="10"/>
      <c r="P150" s="10"/>
      <c r="Q150" s="163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3.5" customHeight="1">
      <c r="A151" s="74"/>
      <c r="B151" s="74"/>
      <c r="C151" s="176"/>
      <c r="D151" s="177"/>
      <c r="E151" s="177"/>
      <c r="F151" s="177"/>
      <c r="G151" s="8"/>
      <c r="H151" s="175"/>
      <c r="I151" s="163"/>
      <c r="J151" s="163"/>
      <c r="K151" s="8"/>
      <c r="L151" s="7"/>
      <c r="M151" s="8"/>
      <c r="N151" s="9"/>
      <c r="O151" s="10"/>
      <c r="P151" s="10"/>
      <c r="Q151" s="163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3.5" customHeight="1">
      <c r="A152" s="74"/>
      <c r="B152" s="74"/>
      <c r="C152" s="176"/>
      <c r="D152" s="177"/>
      <c r="E152" s="177"/>
      <c r="F152" s="177"/>
      <c r="G152" s="8"/>
      <c r="H152" s="175"/>
      <c r="I152" s="163"/>
      <c r="J152" s="163"/>
      <c r="K152" s="8"/>
      <c r="L152" s="7"/>
      <c r="M152" s="8"/>
      <c r="N152" s="9"/>
      <c r="O152" s="10"/>
      <c r="P152" s="10"/>
      <c r="Q152" s="163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3.5" customHeight="1">
      <c r="A153" s="74"/>
      <c r="B153" s="74"/>
      <c r="C153" s="176"/>
      <c r="D153" s="177"/>
      <c r="E153" s="177"/>
      <c r="F153" s="177"/>
      <c r="G153" s="8"/>
      <c r="H153" s="175"/>
      <c r="I153" s="163"/>
      <c r="J153" s="163"/>
      <c r="K153" s="8"/>
      <c r="L153" s="7"/>
      <c r="M153" s="8"/>
      <c r="N153" s="9"/>
      <c r="O153" s="10"/>
      <c r="P153" s="10"/>
      <c r="Q153" s="163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3.5" customHeight="1">
      <c r="A154" s="74"/>
      <c r="B154" s="74"/>
      <c r="C154" s="176"/>
      <c r="D154" s="177"/>
      <c r="E154" s="177"/>
      <c r="F154" s="177"/>
      <c r="G154" s="8"/>
      <c r="H154" s="175"/>
      <c r="I154" s="163"/>
      <c r="J154" s="163"/>
      <c r="K154" s="8"/>
      <c r="L154" s="7"/>
      <c r="M154" s="8"/>
      <c r="N154" s="9"/>
      <c r="O154" s="10"/>
      <c r="P154" s="10"/>
      <c r="Q154" s="163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3.5" customHeight="1">
      <c r="A155" s="74"/>
      <c r="B155" s="74"/>
      <c r="C155" s="176"/>
      <c r="D155" s="177"/>
      <c r="E155" s="177"/>
      <c r="F155" s="177"/>
      <c r="G155" s="8"/>
      <c r="H155" s="175"/>
      <c r="I155" s="163"/>
      <c r="J155" s="163"/>
      <c r="K155" s="8"/>
      <c r="L155" s="7"/>
      <c r="M155" s="8"/>
      <c r="N155" s="9"/>
      <c r="O155" s="10"/>
      <c r="P155" s="10"/>
      <c r="Q155" s="163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3.5" customHeight="1">
      <c r="A156" s="74"/>
      <c r="B156" s="74"/>
      <c r="C156" s="176"/>
      <c r="D156" s="177"/>
      <c r="E156" s="177"/>
      <c r="F156" s="177"/>
      <c r="G156" s="8"/>
      <c r="H156" s="175"/>
      <c r="I156" s="163"/>
      <c r="J156" s="163"/>
      <c r="K156" s="8"/>
      <c r="L156" s="7"/>
      <c r="M156" s="8"/>
      <c r="N156" s="9"/>
      <c r="O156" s="10"/>
      <c r="P156" s="10"/>
      <c r="Q156" s="163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3.5" customHeight="1">
      <c r="A157" s="74"/>
      <c r="B157" s="74"/>
      <c r="C157" s="176"/>
      <c r="D157" s="177"/>
      <c r="E157" s="177"/>
      <c r="F157" s="177"/>
      <c r="G157" s="8"/>
      <c r="H157" s="175"/>
      <c r="I157" s="163"/>
      <c r="J157" s="163"/>
      <c r="K157" s="8"/>
      <c r="L157" s="7"/>
      <c r="M157" s="8"/>
      <c r="N157" s="9"/>
      <c r="O157" s="10"/>
      <c r="P157" s="10"/>
      <c r="Q157" s="163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3.5" customHeight="1">
      <c r="A158" s="74"/>
      <c r="B158" s="74"/>
      <c r="C158" s="176"/>
      <c r="D158" s="177"/>
      <c r="E158" s="177"/>
      <c r="F158" s="177"/>
      <c r="G158" s="8"/>
      <c r="H158" s="175"/>
      <c r="I158" s="163"/>
      <c r="J158" s="163"/>
      <c r="K158" s="8"/>
      <c r="L158" s="7"/>
      <c r="M158" s="8"/>
      <c r="N158" s="9"/>
      <c r="O158" s="10"/>
      <c r="P158" s="10"/>
      <c r="Q158" s="163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3.5" customHeight="1">
      <c r="A159" s="74"/>
      <c r="B159" s="74"/>
      <c r="C159" s="176"/>
      <c r="D159" s="177"/>
      <c r="E159" s="177"/>
      <c r="F159" s="177"/>
      <c r="G159" s="8"/>
      <c r="H159" s="175"/>
      <c r="I159" s="163"/>
      <c r="J159" s="163"/>
      <c r="K159" s="8"/>
      <c r="L159" s="7"/>
      <c r="M159" s="8"/>
      <c r="N159" s="9"/>
      <c r="O159" s="10"/>
      <c r="P159" s="10"/>
      <c r="Q159" s="163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3.5" customHeight="1">
      <c r="A160" s="74"/>
      <c r="B160" s="74"/>
      <c r="C160" s="176"/>
      <c r="D160" s="177"/>
      <c r="E160" s="177"/>
      <c r="F160" s="177"/>
      <c r="G160" s="8"/>
      <c r="H160" s="175"/>
      <c r="I160" s="163"/>
      <c r="J160" s="163"/>
      <c r="K160" s="8"/>
      <c r="L160" s="7"/>
      <c r="M160" s="8"/>
      <c r="N160" s="9"/>
      <c r="O160" s="10"/>
      <c r="P160" s="10"/>
      <c r="Q160" s="163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3.5" customHeight="1">
      <c r="A161" s="74"/>
      <c r="B161" s="74"/>
      <c r="C161" s="176"/>
      <c r="D161" s="177"/>
      <c r="E161" s="177"/>
      <c r="F161" s="177"/>
      <c r="G161" s="8"/>
      <c r="H161" s="175"/>
      <c r="I161" s="163"/>
      <c r="J161" s="163"/>
      <c r="K161" s="8"/>
      <c r="L161" s="7"/>
      <c r="M161" s="8"/>
      <c r="N161" s="9"/>
      <c r="O161" s="10"/>
      <c r="P161" s="10"/>
      <c r="Q161" s="163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3.5" customHeight="1">
      <c r="A162" s="74"/>
      <c r="B162" s="74"/>
      <c r="C162" s="176"/>
      <c r="D162" s="177"/>
      <c r="E162" s="177"/>
      <c r="F162" s="177"/>
      <c r="G162" s="8"/>
      <c r="H162" s="175"/>
      <c r="I162" s="163"/>
      <c r="J162" s="163"/>
      <c r="K162" s="8"/>
      <c r="L162" s="7"/>
      <c r="M162" s="8"/>
      <c r="N162" s="9"/>
      <c r="O162" s="10"/>
      <c r="P162" s="10"/>
      <c r="Q162" s="163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3.5" customHeight="1">
      <c r="A163" s="74"/>
      <c r="B163" s="74"/>
      <c r="C163" s="176"/>
      <c r="D163" s="177"/>
      <c r="E163" s="177"/>
      <c r="F163" s="177"/>
      <c r="G163" s="8"/>
      <c r="H163" s="175"/>
      <c r="I163" s="163"/>
      <c r="J163" s="163"/>
      <c r="K163" s="8"/>
      <c r="L163" s="7"/>
      <c r="M163" s="8"/>
      <c r="N163" s="9"/>
      <c r="O163" s="10"/>
      <c r="P163" s="10"/>
      <c r="Q163" s="163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3.5" customHeight="1">
      <c r="A164" s="74"/>
      <c r="B164" s="74"/>
      <c r="C164" s="176"/>
      <c r="D164" s="177"/>
      <c r="E164" s="177"/>
      <c r="F164" s="177"/>
      <c r="G164" s="8"/>
      <c r="H164" s="175"/>
      <c r="I164" s="163"/>
      <c r="J164" s="163"/>
      <c r="K164" s="8"/>
      <c r="L164" s="7"/>
      <c r="M164" s="8"/>
      <c r="N164" s="9"/>
      <c r="O164" s="10"/>
      <c r="P164" s="10"/>
      <c r="Q164" s="163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3.5" customHeight="1">
      <c r="A165" s="74"/>
      <c r="B165" s="74"/>
      <c r="C165" s="176"/>
      <c r="D165" s="177"/>
      <c r="E165" s="177"/>
      <c r="F165" s="177"/>
      <c r="G165" s="8"/>
      <c r="H165" s="175"/>
      <c r="I165" s="163"/>
      <c r="J165" s="163"/>
      <c r="K165" s="8"/>
      <c r="L165" s="7"/>
      <c r="M165" s="8"/>
      <c r="N165" s="9"/>
      <c r="O165" s="10"/>
      <c r="P165" s="10"/>
      <c r="Q165" s="163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3.5" customHeight="1">
      <c r="A166" s="74"/>
      <c r="B166" s="74"/>
      <c r="C166" s="176"/>
      <c r="D166" s="177"/>
      <c r="E166" s="177"/>
      <c r="F166" s="177"/>
      <c r="G166" s="8"/>
      <c r="H166" s="175"/>
      <c r="I166" s="163"/>
      <c r="J166" s="163"/>
      <c r="K166" s="8"/>
      <c r="L166" s="7"/>
      <c r="M166" s="8"/>
      <c r="N166" s="9"/>
      <c r="O166" s="10"/>
      <c r="P166" s="10"/>
      <c r="Q166" s="163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3.5" customHeight="1">
      <c r="A167" s="74"/>
      <c r="B167" s="74"/>
      <c r="C167" s="176"/>
      <c r="D167" s="177"/>
      <c r="E167" s="177"/>
      <c r="F167" s="177"/>
      <c r="G167" s="8"/>
      <c r="H167" s="175"/>
      <c r="I167" s="163"/>
      <c r="J167" s="163"/>
      <c r="K167" s="8"/>
      <c r="L167" s="7"/>
      <c r="M167" s="8"/>
      <c r="N167" s="9"/>
      <c r="O167" s="10"/>
      <c r="P167" s="10"/>
      <c r="Q167" s="163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3.5" customHeight="1">
      <c r="A168" s="74"/>
      <c r="B168" s="74"/>
      <c r="C168" s="176"/>
      <c r="D168" s="177"/>
      <c r="E168" s="177"/>
      <c r="F168" s="177"/>
      <c r="G168" s="8"/>
      <c r="H168" s="175"/>
      <c r="I168" s="163"/>
      <c r="J168" s="163"/>
      <c r="K168" s="8"/>
      <c r="L168" s="7"/>
      <c r="M168" s="8"/>
      <c r="N168" s="9"/>
      <c r="O168" s="10"/>
      <c r="P168" s="10"/>
      <c r="Q168" s="163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3.5" customHeight="1">
      <c r="A169" s="74"/>
      <c r="B169" s="74"/>
      <c r="C169" s="176"/>
      <c r="D169" s="177"/>
      <c r="E169" s="177"/>
      <c r="F169" s="177"/>
      <c r="G169" s="8"/>
      <c r="H169" s="175"/>
      <c r="I169" s="163"/>
      <c r="J169" s="163"/>
      <c r="K169" s="8"/>
      <c r="L169" s="7"/>
      <c r="M169" s="8"/>
      <c r="N169" s="9"/>
      <c r="O169" s="10"/>
      <c r="P169" s="10"/>
      <c r="Q169" s="163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3.5" customHeight="1">
      <c r="A170" s="74"/>
      <c r="B170" s="74"/>
      <c r="C170" s="176"/>
      <c r="D170" s="177"/>
      <c r="E170" s="177"/>
      <c r="F170" s="177"/>
      <c r="G170" s="8"/>
      <c r="H170" s="175"/>
      <c r="I170" s="163"/>
      <c r="J170" s="163"/>
      <c r="K170" s="8"/>
      <c r="L170" s="7"/>
      <c r="M170" s="8"/>
      <c r="N170" s="9"/>
      <c r="O170" s="10"/>
      <c r="P170" s="10"/>
      <c r="Q170" s="163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3.5" customHeight="1">
      <c r="A171" s="74"/>
      <c r="B171" s="74"/>
      <c r="C171" s="176"/>
      <c r="D171" s="177"/>
      <c r="E171" s="177"/>
      <c r="F171" s="177"/>
      <c r="G171" s="8"/>
      <c r="H171" s="175"/>
      <c r="I171" s="163"/>
      <c r="J171" s="163"/>
      <c r="K171" s="8"/>
      <c r="L171" s="7"/>
      <c r="M171" s="8"/>
      <c r="N171" s="9"/>
      <c r="O171" s="10"/>
      <c r="P171" s="10"/>
      <c r="Q171" s="163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3.5" customHeight="1">
      <c r="A172" s="74"/>
      <c r="B172" s="74"/>
      <c r="C172" s="176"/>
      <c r="D172" s="177"/>
      <c r="E172" s="177"/>
      <c r="F172" s="177"/>
      <c r="G172" s="8"/>
      <c r="H172" s="175"/>
      <c r="I172" s="163"/>
      <c r="J172" s="163"/>
      <c r="K172" s="8"/>
      <c r="L172" s="7"/>
      <c r="M172" s="8"/>
      <c r="N172" s="9"/>
      <c r="O172" s="10"/>
      <c r="P172" s="10"/>
      <c r="Q172" s="163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3.5" customHeight="1">
      <c r="A173" s="74"/>
      <c r="B173" s="74"/>
      <c r="C173" s="176"/>
      <c r="D173" s="177"/>
      <c r="E173" s="177"/>
      <c r="F173" s="177"/>
      <c r="G173" s="8"/>
      <c r="H173" s="175"/>
      <c r="I173" s="163"/>
      <c r="J173" s="163"/>
      <c r="K173" s="8"/>
      <c r="L173" s="7"/>
      <c r="M173" s="8"/>
      <c r="N173" s="9"/>
      <c r="O173" s="10"/>
      <c r="P173" s="10"/>
      <c r="Q173" s="163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3.5" customHeight="1">
      <c r="A174" s="74"/>
      <c r="B174" s="74"/>
      <c r="C174" s="176"/>
      <c r="D174" s="177"/>
      <c r="E174" s="177"/>
      <c r="F174" s="177"/>
      <c r="G174" s="8"/>
      <c r="H174" s="175"/>
      <c r="I174" s="163"/>
      <c r="J174" s="163"/>
      <c r="K174" s="8"/>
      <c r="L174" s="7"/>
      <c r="M174" s="8"/>
      <c r="N174" s="9"/>
      <c r="O174" s="10"/>
      <c r="P174" s="10"/>
      <c r="Q174" s="163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3.5" customHeight="1">
      <c r="A175" s="74"/>
      <c r="B175" s="74"/>
      <c r="C175" s="176"/>
      <c r="D175" s="177"/>
      <c r="E175" s="177"/>
      <c r="F175" s="177"/>
      <c r="G175" s="8"/>
      <c r="H175" s="175"/>
      <c r="I175" s="163"/>
      <c r="J175" s="163"/>
      <c r="K175" s="8"/>
      <c r="L175" s="7"/>
      <c r="M175" s="8"/>
      <c r="N175" s="9"/>
      <c r="O175" s="10"/>
      <c r="P175" s="10"/>
      <c r="Q175" s="163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3.5" customHeight="1">
      <c r="A176" s="74"/>
      <c r="B176" s="74"/>
      <c r="C176" s="176"/>
      <c r="D176" s="177"/>
      <c r="E176" s="177"/>
      <c r="F176" s="177"/>
      <c r="G176" s="8"/>
      <c r="H176" s="175"/>
      <c r="I176" s="163"/>
      <c r="J176" s="163"/>
      <c r="K176" s="8"/>
      <c r="L176" s="7"/>
      <c r="M176" s="8"/>
      <c r="N176" s="9"/>
      <c r="O176" s="10"/>
      <c r="P176" s="10"/>
      <c r="Q176" s="163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3.5" customHeight="1">
      <c r="A177" s="74"/>
      <c r="B177" s="74"/>
      <c r="C177" s="176"/>
      <c r="D177" s="177"/>
      <c r="E177" s="177"/>
      <c r="F177" s="177"/>
      <c r="G177" s="8"/>
      <c r="H177" s="175"/>
      <c r="I177" s="163"/>
      <c r="J177" s="163"/>
      <c r="K177" s="8"/>
      <c r="L177" s="7"/>
      <c r="M177" s="8"/>
      <c r="N177" s="9"/>
      <c r="O177" s="10"/>
      <c r="P177" s="10"/>
      <c r="Q177" s="163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3.5" customHeight="1">
      <c r="A178" s="74"/>
      <c r="B178" s="74"/>
      <c r="C178" s="176"/>
      <c r="D178" s="177"/>
      <c r="E178" s="177"/>
      <c r="F178" s="177"/>
      <c r="G178" s="8"/>
      <c r="H178" s="175"/>
      <c r="I178" s="163"/>
      <c r="J178" s="163"/>
      <c r="K178" s="8"/>
      <c r="L178" s="7"/>
      <c r="M178" s="8"/>
      <c r="N178" s="9"/>
      <c r="O178" s="10"/>
      <c r="P178" s="10"/>
      <c r="Q178" s="163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3.5" customHeight="1">
      <c r="A179" s="74"/>
      <c r="B179" s="74"/>
      <c r="C179" s="176"/>
      <c r="D179" s="177"/>
      <c r="E179" s="177"/>
      <c r="F179" s="177"/>
      <c r="G179" s="8"/>
      <c r="H179" s="175"/>
      <c r="I179" s="163"/>
      <c r="J179" s="163"/>
      <c r="K179" s="8"/>
      <c r="L179" s="7"/>
      <c r="M179" s="8"/>
      <c r="N179" s="9"/>
      <c r="O179" s="10"/>
      <c r="P179" s="10"/>
      <c r="Q179" s="163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3.5" customHeight="1">
      <c r="A180" s="74"/>
      <c r="B180" s="74"/>
      <c r="C180" s="176"/>
      <c r="D180" s="177"/>
      <c r="E180" s="177"/>
      <c r="F180" s="177"/>
      <c r="G180" s="8"/>
      <c r="H180" s="175"/>
      <c r="I180" s="163"/>
      <c r="J180" s="163"/>
      <c r="K180" s="8"/>
      <c r="L180" s="7"/>
      <c r="M180" s="8"/>
      <c r="N180" s="9"/>
      <c r="O180" s="10"/>
      <c r="P180" s="10"/>
      <c r="Q180" s="163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3.5" customHeight="1">
      <c r="A181" s="74"/>
      <c r="B181" s="74"/>
      <c r="C181" s="176"/>
      <c r="D181" s="177"/>
      <c r="E181" s="177"/>
      <c r="F181" s="177"/>
      <c r="G181" s="8"/>
      <c r="H181" s="175"/>
      <c r="I181" s="163"/>
      <c r="J181" s="163"/>
      <c r="K181" s="8"/>
      <c r="L181" s="7"/>
      <c r="M181" s="8"/>
      <c r="N181" s="9"/>
      <c r="O181" s="10"/>
      <c r="P181" s="10"/>
      <c r="Q181" s="163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3.5" customHeight="1">
      <c r="A182" s="74"/>
      <c r="B182" s="74"/>
      <c r="C182" s="176"/>
      <c r="D182" s="177"/>
      <c r="E182" s="177"/>
      <c r="F182" s="177"/>
      <c r="G182" s="8"/>
      <c r="H182" s="175"/>
      <c r="I182" s="163"/>
      <c r="J182" s="163"/>
      <c r="K182" s="8"/>
      <c r="L182" s="7"/>
      <c r="M182" s="8"/>
      <c r="N182" s="9"/>
      <c r="O182" s="10"/>
      <c r="P182" s="10"/>
      <c r="Q182" s="163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3.5" customHeight="1">
      <c r="A183" s="74"/>
      <c r="B183" s="74"/>
      <c r="C183" s="176"/>
      <c r="D183" s="177"/>
      <c r="E183" s="177"/>
      <c r="F183" s="177"/>
      <c r="G183" s="8"/>
      <c r="H183" s="175"/>
      <c r="I183" s="163"/>
      <c r="J183" s="163"/>
      <c r="K183" s="8"/>
      <c r="L183" s="7"/>
      <c r="M183" s="8"/>
      <c r="N183" s="9"/>
      <c r="O183" s="10"/>
      <c r="P183" s="10"/>
      <c r="Q183" s="163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3.5" customHeight="1">
      <c r="A184" s="74"/>
      <c r="B184" s="74"/>
      <c r="C184" s="176"/>
      <c r="D184" s="177"/>
      <c r="E184" s="177"/>
      <c r="F184" s="177"/>
      <c r="G184" s="8"/>
      <c r="H184" s="175"/>
      <c r="I184" s="163"/>
      <c r="J184" s="163"/>
      <c r="K184" s="8"/>
      <c r="L184" s="7"/>
      <c r="M184" s="8"/>
      <c r="N184" s="9"/>
      <c r="O184" s="10"/>
      <c r="P184" s="10"/>
      <c r="Q184" s="163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3.5" customHeight="1">
      <c r="A185" s="74"/>
      <c r="B185" s="74"/>
      <c r="C185" s="176"/>
      <c r="D185" s="177"/>
      <c r="E185" s="177"/>
      <c r="F185" s="177"/>
      <c r="G185" s="8"/>
      <c r="H185" s="175"/>
      <c r="I185" s="163"/>
      <c r="J185" s="163"/>
      <c r="K185" s="8"/>
      <c r="L185" s="7"/>
      <c r="M185" s="8"/>
      <c r="N185" s="9"/>
      <c r="O185" s="10"/>
      <c r="P185" s="10"/>
      <c r="Q185" s="163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3.5" customHeight="1">
      <c r="A186" s="74"/>
      <c r="B186" s="74"/>
      <c r="C186" s="176"/>
      <c r="D186" s="177"/>
      <c r="E186" s="177"/>
      <c r="F186" s="177"/>
      <c r="G186" s="8"/>
      <c r="H186" s="175"/>
      <c r="I186" s="163"/>
      <c r="J186" s="163"/>
      <c r="K186" s="8"/>
      <c r="L186" s="7"/>
      <c r="M186" s="8"/>
      <c r="N186" s="9"/>
      <c r="O186" s="10"/>
      <c r="P186" s="10"/>
      <c r="Q186" s="163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3.5" customHeight="1">
      <c r="A187" s="74"/>
      <c r="B187" s="74"/>
      <c r="C187" s="176"/>
      <c r="D187" s="177"/>
      <c r="E187" s="177"/>
      <c r="F187" s="177"/>
      <c r="G187" s="8"/>
      <c r="H187" s="175"/>
      <c r="I187" s="163"/>
      <c r="J187" s="163"/>
      <c r="K187" s="8"/>
      <c r="L187" s="7"/>
      <c r="M187" s="8"/>
      <c r="N187" s="9"/>
      <c r="O187" s="10"/>
      <c r="P187" s="10"/>
      <c r="Q187" s="163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3.5" customHeight="1">
      <c r="A188" s="74"/>
      <c r="B188" s="74"/>
      <c r="C188" s="176"/>
      <c r="D188" s="177"/>
      <c r="E188" s="177"/>
      <c r="F188" s="177"/>
      <c r="G188" s="8"/>
      <c r="H188" s="175"/>
      <c r="I188" s="163"/>
      <c r="J188" s="163"/>
      <c r="K188" s="8"/>
      <c r="L188" s="7"/>
      <c r="M188" s="8"/>
      <c r="N188" s="9"/>
      <c r="O188" s="10"/>
      <c r="P188" s="10"/>
      <c r="Q188" s="163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3.5" customHeight="1">
      <c r="A189" s="74"/>
      <c r="B189" s="74"/>
      <c r="C189" s="176"/>
      <c r="D189" s="177"/>
      <c r="E189" s="177"/>
      <c r="F189" s="177"/>
      <c r="G189" s="8"/>
      <c r="H189" s="175"/>
      <c r="I189" s="163"/>
      <c r="J189" s="163"/>
      <c r="K189" s="8"/>
      <c r="L189" s="7"/>
      <c r="M189" s="8"/>
      <c r="N189" s="9"/>
      <c r="O189" s="10"/>
      <c r="P189" s="10"/>
      <c r="Q189" s="163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3.5" customHeight="1">
      <c r="A190" s="74"/>
      <c r="B190" s="74"/>
      <c r="C190" s="176"/>
      <c r="D190" s="177"/>
      <c r="E190" s="177"/>
      <c r="F190" s="177"/>
      <c r="G190" s="8"/>
      <c r="H190" s="175"/>
      <c r="I190" s="163"/>
      <c r="J190" s="163"/>
      <c r="K190" s="8"/>
      <c r="L190" s="7"/>
      <c r="M190" s="8"/>
      <c r="N190" s="9"/>
      <c r="O190" s="10"/>
      <c r="P190" s="10"/>
      <c r="Q190" s="163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3.5" customHeight="1">
      <c r="A191" s="74"/>
      <c r="B191" s="74"/>
      <c r="C191" s="176"/>
      <c r="D191" s="177"/>
      <c r="E191" s="177"/>
      <c r="F191" s="177"/>
      <c r="G191" s="8"/>
      <c r="H191" s="175"/>
      <c r="I191" s="163"/>
      <c r="J191" s="163"/>
      <c r="K191" s="8"/>
      <c r="L191" s="7"/>
      <c r="M191" s="8"/>
      <c r="N191" s="9"/>
      <c r="O191" s="10"/>
      <c r="P191" s="10"/>
      <c r="Q191" s="163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3.5" customHeight="1">
      <c r="A192" s="74"/>
      <c r="B192" s="74"/>
      <c r="C192" s="176"/>
      <c r="D192" s="177"/>
      <c r="E192" s="177"/>
      <c r="F192" s="177"/>
      <c r="G192" s="8"/>
      <c r="H192" s="175"/>
      <c r="I192" s="163"/>
      <c r="J192" s="163"/>
      <c r="K192" s="8"/>
      <c r="L192" s="7"/>
      <c r="M192" s="8"/>
      <c r="N192" s="9"/>
      <c r="O192" s="10"/>
      <c r="P192" s="10"/>
      <c r="Q192" s="163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3.5" customHeight="1">
      <c r="A193" s="74"/>
      <c r="B193" s="74"/>
      <c r="C193" s="176"/>
      <c r="D193" s="177"/>
      <c r="E193" s="177"/>
      <c r="F193" s="177"/>
      <c r="G193" s="8"/>
      <c r="H193" s="175"/>
      <c r="I193" s="163"/>
      <c r="J193" s="163"/>
      <c r="K193" s="8"/>
      <c r="L193" s="7"/>
      <c r="M193" s="8"/>
      <c r="N193" s="9"/>
      <c r="O193" s="10"/>
      <c r="P193" s="10"/>
      <c r="Q193" s="163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3.5" customHeight="1">
      <c r="A194" s="74"/>
      <c r="B194" s="74"/>
      <c r="C194" s="176"/>
      <c r="D194" s="177"/>
      <c r="E194" s="177"/>
      <c r="F194" s="177"/>
      <c r="G194" s="8"/>
      <c r="H194" s="175"/>
      <c r="I194" s="163"/>
      <c r="J194" s="163"/>
      <c r="K194" s="8"/>
      <c r="L194" s="7"/>
      <c r="M194" s="8"/>
      <c r="N194" s="9"/>
      <c r="O194" s="10"/>
      <c r="P194" s="10"/>
      <c r="Q194" s="163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3.5" customHeight="1">
      <c r="A195" s="74"/>
      <c r="B195" s="74"/>
      <c r="C195" s="176"/>
      <c r="D195" s="177"/>
      <c r="E195" s="177"/>
      <c r="F195" s="177"/>
      <c r="G195" s="8"/>
      <c r="H195" s="175"/>
      <c r="I195" s="163"/>
      <c r="J195" s="163"/>
      <c r="K195" s="8"/>
      <c r="L195" s="7"/>
      <c r="M195" s="8"/>
      <c r="N195" s="9"/>
      <c r="O195" s="10"/>
      <c r="P195" s="10"/>
      <c r="Q195" s="163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3.5" customHeight="1">
      <c r="A196" s="74"/>
      <c r="B196" s="74"/>
      <c r="C196" s="176"/>
      <c r="D196" s="177"/>
      <c r="E196" s="177"/>
      <c r="F196" s="177"/>
      <c r="G196" s="8"/>
      <c r="H196" s="175"/>
      <c r="I196" s="163"/>
      <c r="J196" s="163"/>
      <c r="K196" s="8"/>
      <c r="L196" s="7"/>
      <c r="M196" s="8"/>
      <c r="N196" s="9"/>
      <c r="O196" s="10"/>
      <c r="P196" s="10"/>
      <c r="Q196" s="163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3.5" customHeight="1">
      <c r="A197" s="74"/>
      <c r="B197" s="74"/>
      <c r="C197" s="176"/>
      <c r="D197" s="177"/>
      <c r="E197" s="177"/>
      <c r="F197" s="177"/>
      <c r="G197" s="8"/>
      <c r="H197" s="175"/>
      <c r="I197" s="163"/>
      <c r="J197" s="163"/>
      <c r="K197" s="8"/>
      <c r="L197" s="7"/>
      <c r="M197" s="8"/>
      <c r="N197" s="9"/>
      <c r="O197" s="10"/>
      <c r="P197" s="10"/>
      <c r="Q197" s="163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3.5" customHeight="1">
      <c r="A198" s="74"/>
      <c r="B198" s="74"/>
      <c r="C198" s="176"/>
      <c r="D198" s="177"/>
      <c r="E198" s="177"/>
      <c r="F198" s="177"/>
      <c r="G198" s="8"/>
      <c r="H198" s="175"/>
      <c r="I198" s="163"/>
      <c r="J198" s="163"/>
      <c r="K198" s="8"/>
      <c r="L198" s="7"/>
      <c r="M198" s="8"/>
      <c r="N198" s="9"/>
      <c r="O198" s="10"/>
      <c r="P198" s="10"/>
      <c r="Q198" s="163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3.5" customHeight="1">
      <c r="A199" s="74"/>
      <c r="B199" s="74"/>
      <c r="C199" s="176"/>
      <c r="D199" s="177"/>
      <c r="E199" s="177"/>
      <c r="F199" s="177"/>
      <c r="G199" s="8"/>
      <c r="H199" s="175"/>
      <c r="I199" s="163"/>
      <c r="J199" s="163"/>
      <c r="K199" s="8"/>
      <c r="L199" s="7"/>
      <c r="M199" s="8"/>
      <c r="N199" s="9"/>
      <c r="O199" s="10"/>
      <c r="P199" s="10"/>
      <c r="Q199" s="163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3.5" customHeight="1">
      <c r="A200" s="74"/>
      <c r="B200" s="74"/>
      <c r="C200" s="176"/>
      <c r="D200" s="177"/>
      <c r="E200" s="177"/>
      <c r="F200" s="177"/>
      <c r="G200" s="8"/>
      <c r="H200" s="175"/>
      <c r="I200" s="163"/>
      <c r="J200" s="163"/>
      <c r="K200" s="8"/>
      <c r="L200" s="7"/>
      <c r="M200" s="8"/>
      <c r="N200" s="9"/>
      <c r="O200" s="10"/>
      <c r="P200" s="10"/>
      <c r="Q200" s="163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3.5" customHeight="1">
      <c r="A201" s="74"/>
      <c r="B201" s="74"/>
      <c r="C201" s="176"/>
      <c r="D201" s="177"/>
      <c r="E201" s="177"/>
      <c r="F201" s="177"/>
      <c r="G201" s="8"/>
      <c r="H201" s="175"/>
      <c r="I201" s="163"/>
      <c r="J201" s="163"/>
      <c r="K201" s="8"/>
      <c r="L201" s="7"/>
      <c r="M201" s="8"/>
      <c r="N201" s="9"/>
      <c r="O201" s="10"/>
      <c r="P201" s="10"/>
      <c r="Q201" s="163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3.5" customHeight="1">
      <c r="A202" s="74"/>
      <c r="B202" s="74"/>
      <c r="C202" s="176"/>
      <c r="D202" s="177"/>
      <c r="E202" s="177"/>
      <c r="F202" s="177"/>
      <c r="G202" s="8"/>
      <c r="H202" s="175"/>
      <c r="I202" s="163"/>
      <c r="J202" s="163"/>
      <c r="K202" s="8"/>
      <c r="L202" s="7"/>
      <c r="M202" s="8"/>
      <c r="N202" s="9"/>
      <c r="O202" s="10"/>
      <c r="P202" s="10"/>
      <c r="Q202" s="163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3.5" customHeight="1">
      <c r="A203" s="74"/>
      <c r="B203" s="74"/>
      <c r="C203" s="176"/>
      <c r="D203" s="177"/>
      <c r="E203" s="177"/>
      <c r="F203" s="177"/>
      <c r="G203" s="8"/>
      <c r="H203" s="175"/>
      <c r="I203" s="163"/>
      <c r="J203" s="163"/>
      <c r="K203" s="8"/>
      <c r="L203" s="7"/>
      <c r="M203" s="8"/>
      <c r="N203" s="9"/>
      <c r="O203" s="10"/>
      <c r="P203" s="10"/>
      <c r="Q203" s="163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3.5" customHeight="1">
      <c r="A204" s="74"/>
      <c r="B204" s="74"/>
      <c r="C204" s="176"/>
      <c r="D204" s="177"/>
      <c r="E204" s="177"/>
      <c r="F204" s="177"/>
      <c r="G204" s="8"/>
      <c r="H204" s="175"/>
      <c r="I204" s="163"/>
      <c r="J204" s="163"/>
      <c r="K204" s="8"/>
      <c r="L204" s="7"/>
      <c r="M204" s="8"/>
      <c r="N204" s="9"/>
      <c r="O204" s="10"/>
      <c r="P204" s="10"/>
      <c r="Q204" s="163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3.5" customHeight="1">
      <c r="A205" s="74"/>
      <c r="B205" s="74"/>
      <c r="C205" s="176"/>
      <c r="D205" s="177"/>
      <c r="E205" s="177"/>
      <c r="F205" s="177"/>
      <c r="G205" s="8"/>
      <c r="H205" s="175"/>
      <c r="I205" s="163"/>
      <c r="J205" s="163"/>
      <c r="K205" s="8"/>
      <c r="L205" s="7"/>
      <c r="M205" s="8"/>
      <c r="N205" s="9"/>
      <c r="O205" s="10"/>
      <c r="P205" s="10"/>
      <c r="Q205" s="163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3.5" customHeight="1">
      <c r="A206" s="74"/>
      <c r="B206" s="74"/>
      <c r="C206" s="176"/>
      <c r="D206" s="177"/>
      <c r="E206" s="177"/>
      <c r="F206" s="177"/>
      <c r="G206" s="8"/>
      <c r="H206" s="175"/>
      <c r="I206" s="163"/>
      <c r="J206" s="163"/>
      <c r="K206" s="8"/>
      <c r="L206" s="7"/>
      <c r="M206" s="8"/>
      <c r="N206" s="9"/>
      <c r="O206" s="10"/>
      <c r="P206" s="10"/>
      <c r="Q206" s="163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3.5" customHeight="1">
      <c r="A207" s="74"/>
      <c r="B207" s="74"/>
      <c r="C207" s="176"/>
      <c r="D207" s="177"/>
      <c r="E207" s="177"/>
      <c r="F207" s="177"/>
      <c r="G207" s="8"/>
      <c r="H207" s="175"/>
      <c r="I207" s="163"/>
      <c r="J207" s="163"/>
      <c r="K207" s="8"/>
      <c r="L207" s="7"/>
      <c r="M207" s="8"/>
      <c r="N207" s="9"/>
      <c r="O207" s="10"/>
      <c r="P207" s="10"/>
      <c r="Q207" s="163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3.5" customHeight="1">
      <c r="A208" s="74"/>
      <c r="B208" s="74"/>
      <c r="C208" s="176"/>
      <c r="D208" s="177"/>
      <c r="E208" s="177"/>
      <c r="F208" s="177"/>
      <c r="G208" s="8"/>
      <c r="H208" s="175"/>
      <c r="I208" s="163"/>
      <c r="J208" s="163"/>
      <c r="K208" s="8"/>
      <c r="L208" s="7"/>
      <c r="M208" s="8"/>
      <c r="N208" s="9"/>
      <c r="O208" s="10"/>
      <c r="P208" s="10"/>
      <c r="Q208" s="163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3.5" customHeight="1">
      <c r="A209" s="74"/>
      <c r="B209" s="74"/>
      <c r="C209" s="176"/>
      <c r="D209" s="177"/>
      <c r="E209" s="177"/>
      <c r="F209" s="177"/>
      <c r="G209" s="8"/>
      <c r="H209" s="175"/>
      <c r="I209" s="163"/>
      <c r="J209" s="163"/>
      <c r="K209" s="8"/>
      <c r="L209" s="7"/>
      <c r="M209" s="8"/>
      <c r="N209" s="9"/>
      <c r="O209" s="10"/>
      <c r="P209" s="10"/>
      <c r="Q209" s="163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3.5" customHeight="1">
      <c r="A210" s="74"/>
      <c r="B210" s="74"/>
      <c r="C210" s="176"/>
      <c r="D210" s="177"/>
      <c r="E210" s="177"/>
      <c r="F210" s="177"/>
      <c r="G210" s="8"/>
      <c r="H210" s="175"/>
      <c r="I210" s="163"/>
      <c r="J210" s="163"/>
      <c r="K210" s="8"/>
      <c r="L210" s="7"/>
      <c r="M210" s="8"/>
      <c r="N210" s="9"/>
      <c r="O210" s="10"/>
      <c r="P210" s="10"/>
      <c r="Q210" s="163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3.5" customHeight="1">
      <c r="A211" s="74"/>
      <c r="B211" s="74"/>
      <c r="C211" s="176"/>
      <c r="D211" s="177"/>
      <c r="E211" s="177"/>
      <c r="F211" s="177"/>
      <c r="G211" s="8"/>
      <c r="H211" s="175"/>
      <c r="I211" s="163"/>
      <c r="J211" s="163"/>
      <c r="K211" s="8"/>
      <c r="L211" s="7"/>
      <c r="M211" s="8"/>
      <c r="N211" s="9"/>
      <c r="O211" s="10"/>
      <c r="P211" s="10"/>
      <c r="Q211" s="163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3.5" customHeight="1">
      <c r="A212" s="74"/>
      <c r="B212" s="74"/>
      <c r="C212" s="176"/>
      <c r="D212" s="177"/>
      <c r="E212" s="177"/>
      <c r="F212" s="177"/>
      <c r="G212" s="8"/>
      <c r="H212" s="175"/>
      <c r="I212" s="163"/>
      <c r="J212" s="163"/>
      <c r="K212" s="8"/>
      <c r="L212" s="7"/>
      <c r="M212" s="8"/>
      <c r="N212" s="9"/>
      <c r="O212" s="10"/>
      <c r="P212" s="10"/>
      <c r="Q212" s="163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3.5" customHeight="1">
      <c r="A213" s="74"/>
      <c r="B213" s="74"/>
      <c r="C213" s="176"/>
      <c r="D213" s="177"/>
      <c r="E213" s="177"/>
      <c r="F213" s="177"/>
      <c r="G213" s="8"/>
      <c r="H213" s="175"/>
      <c r="I213" s="163"/>
      <c r="J213" s="163"/>
      <c r="K213" s="8"/>
      <c r="L213" s="7"/>
      <c r="M213" s="8"/>
      <c r="N213" s="9"/>
      <c r="O213" s="10"/>
      <c r="P213" s="10"/>
      <c r="Q213" s="163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3.5" customHeight="1">
      <c r="A214" s="74"/>
      <c r="B214" s="74"/>
      <c r="C214" s="176"/>
      <c r="D214" s="177"/>
      <c r="E214" s="177"/>
      <c r="F214" s="177"/>
      <c r="G214" s="8"/>
      <c r="H214" s="175"/>
      <c r="I214" s="163"/>
      <c r="J214" s="163"/>
      <c r="K214" s="8"/>
      <c r="L214" s="7"/>
      <c r="M214" s="8"/>
      <c r="N214" s="9"/>
      <c r="O214" s="10"/>
      <c r="P214" s="10"/>
      <c r="Q214" s="163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3.5" customHeight="1">
      <c r="A215" s="74"/>
      <c r="B215" s="74"/>
      <c r="C215" s="176"/>
      <c r="D215" s="177"/>
      <c r="E215" s="177"/>
      <c r="F215" s="177"/>
      <c r="G215" s="8"/>
      <c r="H215" s="175"/>
      <c r="I215" s="163"/>
      <c r="J215" s="163"/>
      <c r="K215" s="8"/>
      <c r="L215" s="7"/>
      <c r="M215" s="8"/>
      <c r="N215" s="9"/>
      <c r="O215" s="10"/>
      <c r="P215" s="10"/>
      <c r="Q215" s="163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3.5" customHeight="1">
      <c r="A216" s="74"/>
      <c r="B216" s="74"/>
      <c r="C216" s="176"/>
      <c r="D216" s="177"/>
      <c r="E216" s="177"/>
      <c r="F216" s="177"/>
      <c r="G216" s="8"/>
      <c r="H216" s="175"/>
      <c r="I216" s="163"/>
      <c r="J216" s="163"/>
      <c r="K216" s="8"/>
      <c r="L216" s="7"/>
      <c r="M216" s="8"/>
      <c r="N216" s="9"/>
      <c r="O216" s="10"/>
      <c r="P216" s="10"/>
      <c r="Q216" s="163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3.5" customHeight="1">
      <c r="A217" s="74"/>
      <c r="B217" s="74"/>
      <c r="C217" s="176"/>
      <c r="D217" s="177"/>
      <c r="E217" s="177"/>
      <c r="F217" s="177"/>
      <c r="G217" s="8"/>
      <c r="H217" s="175"/>
      <c r="I217" s="163"/>
      <c r="J217" s="163"/>
      <c r="K217" s="8"/>
      <c r="L217" s="7"/>
      <c r="M217" s="8"/>
      <c r="N217" s="9"/>
      <c r="O217" s="10"/>
      <c r="P217" s="10"/>
      <c r="Q217" s="163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3.5" customHeight="1">
      <c r="A218" s="74"/>
      <c r="B218" s="74"/>
      <c r="C218" s="176"/>
      <c r="D218" s="177"/>
      <c r="E218" s="177"/>
      <c r="F218" s="177"/>
      <c r="G218" s="8"/>
      <c r="H218" s="175"/>
      <c r="I218" s="163"/>
      <c r="J218" s="163"/>
      <c r="K218" s="8"/>
      <c r="L218" s="7"/>
      <c r="M218" s="8"/>
      <c r="N218" s="9"/>
      <c r="O218" s="10"/>
      <c r="P218" s="10"/>
      <c r="Q218" s="163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3.5" customHeight="1">
      <c r="A219" s="74"/>
      <c r="B219" s="74"/>
      <c r="C219" s="176"/>
      <c r="D219" s="177"/>
      <c r="E219" s="177"/>
      <c r="F219" s="177"/>
      <c r="G219" s="8"/>
      <c r="H219" s="175"/>
      <c r="I219" s="163"/>
      <c r="J219" s="163"/>
      <c r="K219" s="8"/>
      <c r="L219" s="7"/>
      <c r="M219" s="8"/>
      <c r="N219" s="9"/>
      <c r="O219" s="10"/>
      <c r="P219" s="10"/>
      <c r="Q219" s="163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3.5" customHeight="1">
      <c r="A220" s="74"/>
      <c r="B220" s="74"/>
      <c r="C220" s="176"/>
      <c r="D220" s="177"/>
      <c r="E220" s="177"/>
      <c r="F220" s="177"/>
      <c r="G220" s="8"/>
      <c r="H220" s="175"/>
      <c r="I220" s="163"/>
      <c r="J220" s="163"/>
      <c r="K220" s="8"/>
      <c r="L220" s="7"/>
      <c r="M220" s="8"/>
      <c r="N220" s="9"/>
      <c r="O220" s="10"/>
      <c r="P220" s="10"/>
      <c r="Q220" s="163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3.5" customHeight="1">
      <c r="A221" s="74"/>
      <c r="B221" s="74"/>
      <c r="C221" s="176"/>
      <c r="D221" s="177"/>
      <c r="E221" s="177"/>
      <c r="F221" s="177"/>
      <c r="G221" s="8"/>
      <c r="H221" s="175"/>
      <c r="I221" s="163"/>
      <c r="J221" s="163"/>
      <c r="K221" s="8"/>
      <c r="L221" s="7"/>
      <c r="M221" s="8"/>
      <c r="N221" s="9"/>
      <c r="O221" s="10"/>
      <c r="P221" s="10"/>
      <c r="Q221" s="163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3.5" customHeight="1">
      <c r="A222" s="74"/>
      <c r="B222" s="74"/>
      <c r="C222" s="176"/>
      <c r="D222" s="177"/>
      <c r="E222" s="177"/>
      <c r="F222" s="177"/>
      <c r="G222" s="8"/>
      <c r="H222" s="175"/>
      <c r="I222" s="163"/>
      <c r="J222" s="163"/>
      <c r="K222" s="8"/>
      <c r="L222" s="7"/>
      <c r="M222" s="8"/>
      <c r="N222" s="9"/>
      <c r="O222" s="10"/>
      <c r="P222" s="10"/>
      <c r="Q222" s="163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3.5" customHeight="1">
      <c r="A223" s="74"/>
      <c r="B223" s="74"/>
      <c r="C223" s="176"/>
      <c r="D223" s="177"/>
      <c r="E223" s="177"/>
      <c r="F223" s="177"/>
      <c r="G223" s="8"/>
      <c r="H223" s="175"/>
      <c r="I223" s="163"/>
      <c r="J223" s="163"/>
      <c r="K223" s="8"/>
      <c r="L223" s="7"/>
      <c r="M223" s="8"/>
      <c r="N223" s="9"/>
      <c r="O223" s="10"/>
      <c r="P223" s="10"/>
      <c r="Q223" s="163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3.5" customHeight="1">
      <c r="A224" s="74"/>
      <c r="B224" s="74"/>
      <c r="C224" s="176"/>
      <c r="D224" s="177"/>
      <c r="E224" s="177"/>
      <c r="F224" s="177"/>
      <c r="G224" s="8"/>
      <c r="H224" s="175"/>
      <c r="I224" s="163"/>
      <c r="J224" s="163"/>
      <c r="K224" s="8"/>
      <c r="L224" s="7"/>
      <c r="M224" s="8"/>
      <c r="N224" s="9"/>
      <c r="O224" s="10"/>
      <c r="P224" s="10"/>
      <c r="Q224" s="163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3.5" customHeight="1">
      <c r="A225" s="74"/>
      <c r="B225" s="74"/>
      <c r="C225" s="176"/>
      <c r="D225" s="177"/>
      <c r="E225" s="177"/>
      <c r="F225" s="177"/>
      <c r="G225" s="8"/>
      <c r="H225" s="175"/>
      <c r="I225" s="163"/>
      <c r="J225" s="163"/>
      <c r="K225" s="8"/>
      <c r="L225" s="7"/>
      <c r="M225" s="8"/>
      <c r="N225" s="9"/>
      <c r="O225" s="10"/>
      <c r="P225" s="10"/>
      <c r="Q225" s="163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3.5" customHeight="1">
      <c r="A226" s="74"/>
      <c r="B226" s="74"/>
      <c r="C226" s="176"/>
      <c r="D226" s="177"/>
      <c r="E226" s="177"/>
      <c r="F226" s="177"/>
      <c r="G226" s="8"/>
      <c r="H226" s="175"/>
      <c r="I226" s="163"/>
      <c r="J226" s="163"/>
      <c r="K226" s="8"/>
      <c r="L226" s="7"/>
      <c r="M226" s="8"/>
      <c r="N226" s="9"/>
      <c r="O226" s="10"/>
      <c r="P226" s="10"/>
      <c r="Q226" s="163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3.5" customHeight="1">
      <c r="A227" s="74"/>
      <c r="B227" s="74"/>
      <c r="C227" s="176"/>
      <c r="D227" s="177"/>
      <c r="E227" s="177"/>
      <c r="F227" s="177"/>
      <c r="G227" s="8"/>
      <c r="H227" s="175"/>
      <c r="I227" s="163"/>
      <c r="J227" s="163"/>
      <c r="K227" s="8"/>
      <c r="L227" s="7"/>
      <c r="M227" s="8"/>
      <c r="N227" s="9"/>
      <c r="O227" s="10"/>
      <c r="P227" s="10"/>
      <c r="Q227" s="163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3.5" customHeight="1">
      <c r="A228" s="74"/>
      <c r="B228" s="74"/>
      <c r="C228" s="176"/>
      <c r="D228" s="177"/>
      <c r="E228" s="177"/>
      <c r="F228" s="177"/>
      <c r="G228" s="8"/>
      <c r="H228" s="175"/>
      <c r="I228" s="163"/>
      <c r="J228" s="163"/>
      <c r="K228" s="8"/>
      <c r="L228" s="7"/>
      <c r="M228" s="8"/>
      <c r="N228" s="9"/>
      <c r="O228" s="10"/>
      <c r="P228" s="10"/>
      <c r="Q228" s="163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3.5" customHeight="1">
      <c r="A229" s="74"/>
      <c r="B229" s="74"/>
      <c r="C229" s="176"/>
      <c r="D229" s="177"/>
      <c r="E229" s="177"/>
      <c r="F229" s="177"/>
      <c r="G229" s="8"/>
      <c r="H229" s="175"/>
      <c r="I229" s="163"/>
      <c r="J229" s="163"/>
      <c r="K229" s="8"/>
      <c r="L229" s="7"/>
      <c r="M229" s="8"/>
      <c r="N229" s="9"/>
      <c r="O229" s="10"/>
      <c r="P229" s="10"/>
      <c r="Q229" s="163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3.5" customHeight="1">
      <c r="A230" s="74"/>
      <c r="B230" s="74"/>
      <c r="C230" s="176"/>
      <c r="D230" s="177"/>
      <c r="E230" s="177"/>
      <c r="F230" s="177"/>
      <c r="G230" s="8"/>
      <c r="H230" s="175"/>
      <c r="I230" s="163"/>
      <c r="J230" s="163"/>
      <c r="K230" s="8"/>
      <c r="L230" s="7"/>
      <c r="M230" s="8"/>
      <c r="N230" s="9"/>
      <c r="O230" s="10"/>
      <c r="P230" s="10"/>
      <c r="Q230" s="163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3.5" customHeight="1">
      <c r="A231" s="74"/>
      <c r="B231" s="74"/>
      <c r="C231" s="176"/>
      <c r="D231" s="177"/>
      <c r="E231" s="177"/>
      <c r="F231" s="177"/>
      <c r="G231" s="8"/>
      <c r="H231" s="175"/>
      <c r="I231" s="163"/>
      <c r="J231" s="163"/>
      <c r="K231" s="8"/>
      <c r="L231" s="7"/>
      <c r="M231" s="8"/>
      <c r="N231" s="9"/>
      <c r="O231" s="10"/>
      <c r="P231" s="10"/>
      <c r="Q231" s="163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3.5" customHeight="1">
      <c r="A232" s="74"/>
      <c r="B232" s="74"/>
      <c r="C232" s="176"/>
      <c r="D232" s="177"/>
      <c r="E232" s="177"/>
      <c r="F232" s="177"/>
      <c r="G232" s="8"/>
      <c r="H232" s="175"/>
      <c r="I232" s="163"/>
      <c r="J232" s="163"/>
      <c r="K232" s="8"/>
      <c r="L232" s="7"/>
      <c r="M232" s="8"/>
      <c r="N232" s="9"/>
      <c r="O232" s="10"/>
      <c r="P232" s="10"/>
      <c r="Q232" s="163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3.5" customHeight="1">
      <c r="A233" s="74"/>
      <c r="B233" s="74"/>
      <c r="C233" s="176"/>
      <c r="D233" s="177"/>
      <c r="E233" s="177"/>
      <c r="F233" s="177"/>
      <c r="G233" s="8"/>
      <c r="H233" s="175"/>
      <c r="I233" s="163"/>
      <c r="J233" s="163"/>
      <c r="K233" s="8"/>
      <c r="L233" s="7"/>
      <c r="M233" s="8"/>
      <c r="N233" s="9"/>
      <c r="O233" s="10"/>
      <c r="P233" s="10"/>
      <c r="Q233" s="163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3.5" customHeight="1">
      <c r="A234" s="74"/>
      <c r="B234" s="74"/>
      <c r="C234" s="176"/>
      <c r="D234" s="177"/>
      <c r="E234" s="177"/>
      <c r="F234" s="177"/>
      <c r="G234" s="8"/>
      <c r="H234" s="175"/>
      <c r="I234" s="163"/>
      <c r="J234" s="163"/>
      <c r="K234" s="8"/>
      <c r="L234" s="7"/>
      <c r="M234" s="8"/>
      <c r="N234" s="9"/>
      <c r="O234" s="10"/>
      <c r="P234" s="10"/>
      <c r="Q234" s="163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3.5" customHeight="1">
      <c r="A235" s="74"/>
      <c r="B235" s="74"/>
      <c r="C235" s="176"/>
      <c r="D235" s="177"/>
      <c r="E235" s="177"/>
      <c r="F235" s="177"/>
      <c r="G235" s="8"/>
      <c r="H235" s="175"/>
      <c r="I235" s="163"/>
      <c r="J235" s="163"/>
      <c r="K235" s="8"/>
      <c r="L235" s="7"/>
      <c r="M235" s="8"/>
      <c r="N235" s="9"/>
      <c r="O235" s="10"/>
      <c r="P235" s="10"/>
      <c r="Q235" s="163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3.5" customHeight="1">
      <c r="A236" s="74"/>
      <c r="B236" s="74"/>
      <c r="C236" s="176"/>
      <c r="D236" s="177"/>
      <c r="E236" s="177"/>
      <c r="F236" s="177"/>
      <c r="G236" s="8"/>
      <c r="H236" s="175"/>
      <c r="I236" s="163"/>
      <c r="J236" s="163"/>
      <c r="K236" s="8"/>
      <c r="L236" s="7"/>
      <c r="M236" s="8"/>
      <c r="N236" s="9"/>
      <c r="O236" s="10"/>
      <c r="P236" s="10"/>
      <c r="Q236" s="163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3.5" customHeight="1">
      <c r="A237" s="74"/>
      <c r="B237" s="74"/>
      <c r="C237" s="176"/>
      <c r="D237" s="177"/>
      <c r="E237" s="177"/>
      <c r="F237" s="177"/>
      <c r="G237" s="8"/>
      <c r="H237" s="175"/>
      <c r="I237" s="163"/>
      <c r="J237" s="163"/>
      <c r="K237" s="8"/>
      <c r="L237" s="7"/>
      <c r="M237" s="8"/>
      <c r="N237" s="9"/>
      <c r="O237" s="10"/>
      <c r="P237" s="10"/>
      <c r="Q237" s="163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3.5" customHeight="1">
      <c r="A238" s="74"/>
      <c r="B238" s="74"/>
      <c r="C238" s="176"/>
      <c r="D238" s="177"/>
      <c r="E238" s="177"/>
      <c r="F238" s="177"/>
      <c r="G238" s="8"/>
      <c r="H238" s="175"/>
      <c r="I238" s="163"/>
      <c r="J238" s="163"/>
      <c r="K238" s="8"/>
      <c r="L238" s="7"/>
      <c r="M238" s="8"/>
      <c r="N238" s="9"/>
      <c r="O238" s="10"/>
      <c r="P238" s="10"/>
      <c r="Q238" s="163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3.5" customHeight="1">
      <c r="A239" s="74"/>
      <c r="B239" s="74"/>
      <c r="C239" s="176"/>
      <c r="D239" s="177"/>
      <c r="E239" s="177"/>
      <c r="F239" s="177"/>
      <c r="G239" s="8"/>
      <c r="H239" s="175"/>
      <c r="I239" s="163"/>
      <c r="J239" s="163"/>
      <c r="K239" s="8"/>
      <c r="L239" s="7"/>
      <c r="M239" s="8"/>
      <c r="N239" s="9"/>
      <c r="O239" s="10"/>
      <c r="P239" s="10"/>
      <c r="Q239" s="163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3.5" customHeight="1">
      <c r="A240" s="74"/>
      <c r="B240" s="74"/>
      <c r="C240" s="176"/>
      <c r="D240" s="177"/>
      <c r="E240" s="177"/>
      <c r="F240" s="177"/>
      <c r="G240" s="8"/>
      <c r="H240" s="175"/>
      <c r="I240" s="163"/>
      <c r="J240" s="163"/>
      <c r="K240" s="8"/>
      <c r="L240" s="7"/>
      <c r="M240" s="8"/>
      <c r="N240" s="9"/>
      <c r="O240" s="10"/>
      <c r="P240" s="10"/>
      <c r="Q240" s="163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3.5" customHeight="1">
      <c r="A241" s="74"/>
      <c r="B241" s="74"/>
      <c r="C241" s="176"/>
      <c r="D241" s="177"/>
      <c r="E241" s="177"/>
      <c r="F241" s="177"/>
      <c r="G241" s="8"/>
      <c r="H241" s="175"/>
      <c r="I241" s="163"/>
      <c r="J241" s="163"/>
      <c r="K241" s="8"/>
      <c r="L241" s="7"/>
      <c r="M241" s="8"/>
      <c r="N241" s="9"/>
      <c r="O241" s="10"/>
      <c r="P241" s="10"/>
      <c r="Q241" s="163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3.5" customHeight="1">
      <c r="A242" s="74"/>
      <c r="B242" s="74"/>
      <c r="C242" s="176"/>
      <c r="D242" s="177"/>
      <c r="E242" s="177"/>
      <c r="F242" s="177"/>
      <c r="G242" s="8"/>
      <c r="H242" s="175"/>
      <c r="I242" s="163"/>
      <c r="J242" s="163"/>
      <c r="K242" s="8"/>
      <c r="L242" s="7"/>
      <c r="M242" s="8"/>
      <c r="N242" s="9"/>
      <c r="O242" s="10"/>
      <c r="P242" s="10"/>
      <c r="Q242" s="163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3.5" customHeight="1">
      <c r="A243" s="74"/>
      <c r="B243" s="74"/>
      <c r="C243" s="176"/>
      <c r="D243" s="177"/>
      <c r="E243" s="177"/>
      <c r="F243" s="177"/>
      <c r="G243" s="8"/>
      <c r="H243" s="175"/>
      <c r="I243" s="163"/>
      <c r="J243" s="163"/>
      <c r="K243" s="8"/>
      <c r="L243" s="7"/>
      <c r="M243" s="8"/>
      <c r="N243" s="9"/>
      <c r="O243" s="10"/>
      <c r="P243" s="10"/>
      <c r="Q243" s="163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3.5" customHeight="1">
      <c r="A244" s="74"/>
      <c r="B244" s="74"/>
      <c r="C244" s="176"/>
      <c r="D244" s="177"/>
      <c r="E244" s="177"/>
      <c r="F244" s="177"/>
      <c r="G244" s="8"/>
      <c r="H244" s="175"/>
      <c r="I244" s="163"/>
      <c r="J244" s="163"/>
      <c r="K244" s="8"/>
      <c r="L244" s="7"/>
      <c r="M244" s="8"/>
      <c r="N244" s="9"/>
      <c r="O244" s="10"/>
      <c r="P244" s="10"/>
      <c r="Q244" s="163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3.5" customHeight="1">
      <c r="A245" s="74"/>
      <c r="B245" s="74"/>
      <c r="C245" s="176"/>
      <c r="D245" s="177"/>
      <c r="E245" s="177"/>
      <c r="F245" s="177"/>
      <c r="G245" s="8"/>
      <c r="H245" s="175"/>
      <c r="I245" s="163"/>
      <c r="J245" s="163"/>
      <c r="K245" s="8"/>
      <c r="L245" s="7"/>
      <c r="M245" s="8"/>
      <c r="N245" s="9"/>
      <c r="O245" s="10"/>
      <c r="P245" s="10"/>
      <c r="Q245" s="163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3.5" customHeight="1">
      <c r="A246" s="74"/>
      <c r="B246" s="74"/>
      <c r="C246" s="176"/>
      <c r="D246" s="177"/>
      <c r="E246" s="177"/>
      <c r="F246" s="177"/>
      <c r="G246" s="8"/>
      <c r="H246" s="175"/>
      <c r="I246" s="163"/>
      <c r="J246" s="163"/>
      <c r="K246" s="8"/>
      <c r="L246" s="7"/>
      <c r="M246" s="8"/>
      <c r="N246" s="9"/>
      <c r="O246" s="10"/>
      <c r="P246" s="10"/>
      <c r="Q246" s="163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3.5" customHeight="1">
      <c r="A247" s="74"/>
      <c r="B247" s="74"/>
      <c r="C247" s="176"/>
      <c r="D247" s="177"/>
      <c r="E247" s="177"/>
      <c r="F247" s="177"/>
      <c r="G247" s="8"/>
      <c r="H247" s="175"/>
      <c r="I247" s="163"/>
      <c r="J247" s="163"/>
      <c r="K247" s="8"/>
      <c r="L247" s="7"/>
      <c r="M247" s="8"/>
      <c r="N247" s="9"/>
      <c r="O247" s="10"/>
      <c r="P247" s="10"/>
      <c r="Q247" s="163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3.5" customHeight="1">
      <c r="A248" s="74"/>
      <c r="B248" s="74"/>
      <c r="C248" s="176"/>
      <c r="D248" s="177"/>
      <c r="E248" s="177"/>
      <c r="F248" s="177"/>
      <c r="G248" s="8"/>
      <c r="H248" s="175"/>
      <c r="I248" s="163"/>
      <c r="J248" s="163"/>
      <c r="K248" s="8"/>
      <c r="L248" s="7"/>
      <c r="M248" s="8"/>
      <c r="N248" s="9"/>
      <c r="O248" s="10"/>
      <c r="P248" s="10"/>
      <c r="Q248" s="163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3.5" customHeight="1">
      <c r="A249" s="74"/>
      <c r="B249" s="74"/>
      <c r="C249" s="176"/>
      <c r="D249" s="177"/>
      <c r="E249" s="177"/>
      <c r="F249" s="177"/>
      <c r="G249" s="8"/>
      <c r="H249" s="175"/>
      <c r="I249" s="163"/>
      <c r="J249" s="163"/>
      <c r="K249" s="8"/>
      <c r="L249" s="7"/>
      <c r="M249" s="8"/>
      <c r="N249" s="9"/>
      <c r="O249" s="10"/>
      <c r="P249" s="10"/>
      <c r="Q249" s="163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3.5" customHeight="1">
      <c r="A250" s="74"/>
      <c r="B250" s="74"/>
      <c r="C250" s="176"/>
      <c r="D250" s="177"/>
      <c r="E250" s="177"/>
      <c r="F250" s="177"/>
      <c r="G250" s="8"/>
      <c r="H250" s="175"/>
      <c r="I250" s="163"/>
      <c r="J250" s="163"/>
      <c r="K250" s="8"/>
      <c r="L250" s="7"/>
      <c r="M250" s="8"/>
      <c r="N250" s="9"/>
      <c r="O250" s="10"/>
      <c r="P250" s="10"/>
      <c r="Q250" s="163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3.5" customHeight="1">
      <c r="A251" s="74"/>
      <c r="B251" s="74"/>
      <c r="C251" s="176"/>
      <c r="D251" s="177"/>
      <c r="E251" s="177"/>
      <c r="F251" s="177"/>
      <c r="G251" s="8"/>
      <c r="H251" s="175"/>
      <c r="I251" s="163"/>
      <c r="J251" s="163"/>
      <c r="K251" s="8"/>
      <c r="L251" s="7"/>
      <c r="M251" s="8"/>
      <c r="N251" s="9"/>
      <c r="O251" s="10"/>
      <c r="P251" s="10"/>
      <c r="Q251" s="163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3.5" customHeight="1">
      <c r="A252" s="74"/>
      <c r="B252" s="74"/>
      <c r="C252" s="176"/>
      <c r="D252" s="177"/>
      <c r="E252" s="177"/>
      <c r="F252" s="177"/>
      <c r="G252" s="8"/>
      <c r="H252" s="175"/>
      <c r="I252" s="163"/>
      <c r="J252" s="163"/>
      <c r="K252" s="8"/>
      <c r="L252" s="7"/>
      <c r="M252" s="8"/>
      <c r="N252" s="9"/>
      <c r="O252" s="10"/>
      <c r="P252" s="10"/>
      <c r="Q252" s="163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3.5" customHeight="1">
      <c r="A253" s="74"/>
      <c r="B253" s="74"/>
      <c r="C253" s="176"/>
      <c r="D253" s="177"/>
      <c r="E253" s="177"/>
      <c r="F253" s="177"/>
      <c r="G253" s="8"/>
      <c r="H253" s="175"/>
      <c r="I253" s="163"/>
      <c r="J253" s="163"/>
      <c r="K253" s="8"/>
      <c r="L253" s="7"/>
      <c r="M253" s="8"/>
      <c r="N253" s="9"/>
      <c r="O253" s="10"/>
      <c r="P253" s="10"/>
      <c r="Q253" s="163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3.5" customHeight="1">
      <c r="A254" s="74"/>
      <c r="B254" s="74"/>
      <c r="C254" s="176"/>
      <c r="D254" s="177"/>
      <c r="E254" s="177"/>
      <c r="F254" s="177"/>
      <c r="G254" s="8"/>
      <c r="H254" s="175"/>
      <c r="I254" s="163"/>
      <c r="J254" s="163"/>
      <c r="K254" s="8"/>
      <c r="L254" s="7"/>
      <c r="M254" s="8"/>
      <c r="N254" s="9"/>
      <c r="O254" s="10"/>
      <c r="P254" s="10"/>
      <c r="Q254" s="163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3.5" customHeight="1">
      <c r="A255" s="74"/>
      <c r="B255" s="74"/>
      <c r="C255" s="176"/>
      <c r="D255" s="177"/>
      <c r="E255" s="177"/>
      <c r="F255" s="177"/>
      <c r="G255" s="8"/>
      <c r="H255" s="175"/>
      <c r="I255" s="163"/>
      <c r="J255" s="163"/>
      <c r="K255" s="8"/>
      <c r="L255" s="7"/>
      <c r="M255" s="8"/>
      <c r="N255" s="9"/>
      <c r="O255" s="10"/>
      <c r="P255" s="10"/>
      <c r="Q255" s="163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3.5" customHeight="1">
      <c r="A256" s="74"/>
      <c r="B256" s="74"/>
      <c r="C256" s="176"/>
      <c r="D256" s="177"/>
      <c r="E256" s="177"/>
      <c r="F256" s="177"/>
      <c r="G256" s="8"/>
      <c r="H256" s="175"/>
      <c r="I256" s="163"/>
      <c r="J256" s="163"/>
      <c r="K256" s="8"/>
      <c r="L256" s="7"/>
      <c r="M256" s="8"/>
      <c r="N256" s="9"/>
      <c r="O256" s="10"/>
      <c r="P256" s="10"/>
      <c r="Q256" s="163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3.5" customHeight="1">
      <c r="A257" s="74"/>
      <c r="B257" s="74"/>
      <c r="C257" s="176"/>
      <c r="D257" s="177"/>
      <c r="E257" s="177"/>
      <c r="F257" s="177"/>
      <c r="G257" s="8"/>
      <c r="H257" s="175"/>
      <c r="I257" s="163"/>
      <c r="J257" s="163"/>
      <c r="K257" s="8"/>
      <c r="L257" s="7"/>
      <c r="M257" s="8"/>
      <c r="N257" s="9"/>
      <c r="O257" s="10"/>
      <c r="P257" s="10"/>
      <c r="Q257" s="163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3.5" customHeight="1">
      <c r="A258" s="74"/>
      <c r="B258" s="74"/>
      <c r="C258" s="176"/>
      <c r="D258" s="177"/>
      <c r="E258" s="177"/>
      <c r="F258" s="177"/>
      <c r="G258" s="8"/>
      <c r="H258" s="175"/>
      <c r="I258" s="163"/>
      <c r="J258" s="163"/>
      <c r="K258" s="8"/>
      <c r="L258" s="7"/>
      <c r="M258" s="8"/>
      <c r="N258" s="9"/>
      <c r="O258" s="10"/>
      <c r="P258" s="10"/>
      <c r="Q258" s="163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3.5" customHeight="1">
      <c r="A259" s="74"/>
      <c r="B259" s="74"/>
      <c r="C259" s="176"/>
      <c r="D259" s="177"/>
      <c r="E259" s="177"/>
      <c r="F259" s="177"/>
      <c r="G259" s="8"/>
      <c r="H259" s="175"/>
      <c r="I259" s="163"/>
      <c r="J259" s="163"/>
      <c r="K259" s="8"/>
      <c r="L259" s="7"/>
      <c r="M259" s="8"/>
      <c r="N259" s="9"/>
      <c r="O259" s="10"/>
      <c r="P259" s="10"/>
      <c r="Q259" s="163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3.5" customHeight="1">
      <c r="A260" s="74"/>
      <c r="B260" s="74"/>
      <c r="C260" s="176"/>
      <c r="D260" s="177"/>
      <c r="E260" s="177"/>
      <c r="F260" s="177"/>
      <c r="G260" s="8"/>
      <c r="H260" s="175"/>
      <c r="I260" s="163"/>
      <c r="J260" s="163"/>
      <c r="K260" s="8"/>
      <c r="L260" s="7"/>
      <c r="M260" s="8"/>
      <c r="N260" s="9"/>
      <c r="O260" s="10"/>
      <c r="P260" s="10"/>
      <c r="Q260" s="163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3.5" customHeight="1">
      <c r="A261" s="74"/>
      <c r="B261" s="74"/>
      <c r="C261" s="176"/>
      <c r="D261" s="177"/>
      <c r="E261" s="177"/>
      <c r="F261" s="177"/>
      <c r="G261" s="8"/>
      <c r="H261" s="175"/>
      <c r="I261" s="163"/>
      <c r="J261" s="163"/>
      <c r="K261" s="8"/>
      <c r="L261" s="7"/>
      <c r="M261" s="8"/>
      <c r="N261" s="9"/>
      <c r="O261" s="10"/>
      <c r="P261" s="10"/>
      <c r="Q261" s="163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3.5" customHeight="1">
      <c r="A262" s="74"/>
      <c r="B262" s="74"/>
      <c r="C262" s="176"/>
      <c r="D262" s="177"/>
      <c r="E262" s="177"/>
      <c r="F262" s="177"/>
      <c r="G262" s="8"/>
      <c r="H262" s="175"/>
      <c r="I262" s="163"/>
      <c r="J262" s="163"/>
      <c r="K262" s="8"/>
      <c r="L262" s="7"/>
      <c r="M262" s="8"/>
      <c r="N262" s="9"/>
      <c r="O262" s="10"/>
      <c r="P262" s="10"/>
      <c r="Q262" s="163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3.5" customHeight="1">
      <c r="A263" s="74"/>
      <c r="B263" s="74"/>
      <c r="C263" s="176"/>
      <c r="D263" s="177"/>
      <c r="E263" s="177"/>
      <c r="F263" s="177"/>
      <c r="G263" s="8"/>
      <c r="H263" s="175"/>
      <c r="I263" s="163"/>
      <c r="J263" s="163"/>
      <c r="K263" s="8"/>
      <c r="L263" s="7"/>
      <c r="M263" s="8"/>
      <c r="N263" s="9"/>
      <c r="O263" s="10"/>
      <c r="P263" s="10"/>
      <c r="Q263" s="163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3.5" customHeight="1">
      <c r="A264" s="74"/>
      <c r="B264" s="74"/>
      <c r="C264" s="176"/>
      <c r="D264" s="177"/>
      <c r="E264" s="177"/>
      <c r="F264" s="177"/>
      <c r="G264" s="8"/>
      <c r="H264" s="175"/>
      <c r="I264" s="163"/>
      <c r="J264" s="163"/>
      <c r="K264" s="8"/>
      <c r="L264" s="7"/>
      <c r="M264" s="8"/>
      <c r="N264" s="9"/>
      <c r="O264" s="10"/>
      <c r="P264" s="10"/>
      <c r="Q264" s="163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3.5" customHeight="1">
      <c r="A265" s="74"/>
      <c r="B265" s="74"/>
      <c r="C265" s="176"/>
      <c r="D265" s="177"/>
      <c r="E265" s="177"/>
      <c r="F265" s="177"/>
      <c r="G265" s="8"/>
      <c r="H265" s="175"/>
      <c r="I265" s="163"/>
      <c r="J265" s="163"/>
      <c r="K265" s="8"/>
      <c r="L265" s="7"/>
      <c r="M265" s="8"/>
      <c r="N265" s="9"/>
      <c r="O265" s="10"/>
      <c r="P265" s="10"/>
      <c r="Q265" s="163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3.5" customHeight="1">
      <c r="A266" s="74"/>
      <c r="B266" s="74"/>
      <c r="C266" s="176"/>
      <c r="D266" s="177"/>
      <c r="E266" s="177"/>
      <c r="F266" s="177"/>
      <c r="G266" s="8"/>
      <c r="H266" s="175"/>
      <c r="I266" s="163"/>
      <c r="J266" s="163"/>
      <c r="K266" s="8"/>
      <c r="L266" s="7"/>
      <c r="M266" s="8"/>
      <c r="N266" s="9"/>
      <c r="O266" s="10"/>
      <c r="P266" s="10"/>
      <c r="Q266" s="163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3.5" customHeight="1">
      <c r="A267" s="74"/>
      <c r="B267" s="74"/>
      <c r="C267" s="176"/>
      <c r="D267" s="177"/>
      <c r="E267" s="177"/>
      <c r="F267" s="177"/>
      <c r="G267" s="8"/>
      <c r="H267" s="175"/>
      <c r="I267" s="163"/>
      <c r="J267" s="163"/>
      <c r="K267" s="8"/>
      <c r="L267" s="7"/>
      <c r="M267" s="8"/>
      <c r="N267" s="9"/>
      <c r="O267" s="10"/>
      <c r="P267" s="10"/>
      <c r="Q267" s="163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3.5" customHeight="1">
      <c r="A268" s="74"/>
      <c r="B268" s="74"/>
      <c r="C268" s="176"/>
      <c r="D268" s="177"/>
      <c r="E268" s="177"/>
      <c r="F268" s="177"/>
      <c r="G268" s="8"/>
      <c r="H268" s="175"/>
      <c r="I268" s="163"/>
      <c r="J268" s="163"/>
      <c r="K268" s="8"/>
      <c r="L268" s="7"/>
      <c r="M268" s="8"/>
      <c r="N268" s="9"/>
      <c r="O268" s="10"/>
      <c r="P268" s="10"/>
      <c r="Q268" s="163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3.5" customHeight="1">
      <c r="A269" s="74"/>
      <c r="B269" s="74"/>
      <c r="C269" s="176"/>
      <c r="D269" s="177"/>
      <c r="E269" s="177"/>
      <c r="F269" s="177"/>
      <c r="G269" s="8"/>
      <c r="H269" s="175"/>
      <c r="I269" s="163"/>
      <c r="J269" s="163"/>
      <c r="K269" s="8"/>
      <c r="L269" s="7"/>
      <c r="M269" s="8"/>
      <c r="N269" s="9"/>
      <c r="O269" s="10"/>
      <c r="P269" s="10"/>
      <c r="Q269" s="163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3.5" customHeight="1">
      <c r="A270" s="74"/>
      <c r="B270" s="74"/>
      <c r="C270" s="176"/>
      <c r="D270" s="177"/>
      <c r="E270" s="177"/>
      <c r="F270" s="177"/>
      <c r="G270" s="8"/>
      <c r="H270" s="175"/>
      <c r="I270" s="163"/>
      <c r="J270" s="163"/>
      <c r="K270" s="8"/>
      <c r="L270" s="7"/>
      <c r="M270" s="8"/>
      <c r="N270" s="9"/>
      <c r="O270" s="10"/>
      <c r="P270" s="10"/>
      <c r="Q270" s="163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3.5" customHeight="1">
      <c r="A271" s="74"/>
      <c r="B271" s="74"/>
      <c r="C271" s="176"/>
      <c r="D271" s="177"/>
      <c r="E271" s="177"/>
      <c r="F271" s="177"/>
      <c r="G271" s="8"/>
      <c r="H271" s="175"/>
      <c r="I271" s="163"/>
      <c r="J271" s="163"/>
      <c r="K271" s="8"/>
      <c r="L271" s="7"/>
      <c r="M271" s="8"/>
      <c r="N271" s="9"/>
      <c r="O271" s="10"/>
      <c r="P271" s="10"/>
      <c r="Q271" s="163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3.5" customHeight="1">
      <c r="A272" s="74"/>
      <c r="B272" s="74"/>
      <c r="C272" s="176"/>
      <c r="D272" s="177"/>
      <c r="E272" s="177"/>
      <c r="F272" s="177"/>
      <c r="G272" s="8"/>
      <c r="H272" s="175"/>
      <c r="I272" s="163"/>
      <c r="J272" s="163"/>
      <c r="K272" s="8"/>
      <c r="L272" s="7"/>
      <c r="M272" s="8"/>
      <c r="N272" s="9"/>
      <c r="O272" s="10"/>
      <c r="P272" s="10"/>
      <c r="Q272" s="163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3.5" customHeight="1">
      <c r="A273" s="74"/>
      <c r="B273" s="74"/>
      <c r="C273" s="176"/>
      <c r="D273" s="177"/>
      <c r="E273" s="177"/>
      <c r="F273" s="177"/>
      <c r="G273" s="8"/>
      <c r="H273" s="175"/>
      <c r="I273" s="163"/>
      <c r="J273" s="163"/>
      <c r="K273" s="8"/>
      <c r="L273" s="7"/>
      <c r="M273" s="8"/>
      <c r="N273" s="9"/>
      <c r="O273" s="10"/>
      <c r="P273" s="10"/>
      <c r="Q273" s="163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3.5" customHeight="1">
      <c r="A274" s="74"/>
      <c r="B274" s="74"/>
      <c r="C274" s="176"/>
      <c r="D274" s="177"/>
      <c r="E274" s="177"/>
      <c r="F274" s="177"/>
      <c r="G274" s="8"/>
      <c r="H274" s="175"/>
      <c r="I274" s="163"/>
      <c r="J274" s="163"/>
      <c r="K274" s="8"/>
      <c r="L274" s="7"/>
      <c r="M274" s="8"/>
      <c r="N274" s="9"/>
      <c r="O274" s="10"/>
      <c r="P274" s="10"/>
      <c r="Q274" s="163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3.5" customHeight="1">
      <c r="A275" s="74"/>
      <c r="B275" s="74"/>
      <c r="C275" s="176"/>
      <c r="D275" s="177"/>
      <c r="E275" s="177"/>
      <c r="F275" s="177"/>
      <c r="G275" s="8"/>
      <c r="H275" s="175"/>
      <c r="I275" s="163"/>
      <c r="J275" s="163"/>
      <c r="K275" s="8"/>
      <c r="L275" s="7"/>
      <c r="M275" s="8"/>
      <c r="N275" s="9"/>
      <c r="O275" s="10"/>
      <c r="P275" s="10"/>
      <c r="Q275" s="163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3.5" customHeight="1">
      <c r="A276" s="74"/>
      <c r="B276" s="74"/>
      <c r="C276" s="176"/>
      <c r="D276" s="177"/>
      <c r="E276" s="177"/>
      <c r="F276" s="177"/>
      <c r="G276" s="8"/>
      <c r="H276" s="175"/>
      <c r="I276" s="163"/>
      <c r="J276" s="163"/>
      <c r="K276" s="8"/>
      <c r="L276" s="7"/>
      <c r="M276" s="8"/>
      <c r="N276" s="9"/>
      <c r="O276" s="10"/>
      <c r="P276" s="10"/>
      <c r="Q276" s="163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3.5" customHeight="1">
      <c r="A277" s="74"/>
      <c r="B277" s="74"/>
      <c r="C277" s="176"/>
      <c r="D277" s="177"/>
      <c r="E277" s="177"/>
      <c r="F277" s="177"/>
      <c r="G277" s="8"/>
      <c r="H277" s="175"/>
      <c r="I277" s="163"/>
      <c r="J277" s="163"/>
      <c r="K277" s="8"/>
      <c r="L277" s="7"/>
      <c r="M277" s="8"/>
      <c r="N277" s="9"/>
      <c r="O277" s="10"/>
      <c r="P277" s="10"/>
      <c r="Q277" s="163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3.5" customHeight="1">
      <c r="A278" s="74"/>
      <c r="B278" s="74"/>
      <c r="C278" s="176"/>
      <c r="D278" s="177"/>
      <c r="E278" s="177"/>
      <c r="F278" s="177"/>
      <c r="G278" s="8"/>
      <c r="H278" s="175"/>
      <c r="I278" s="163"/>
      <c r="J278" s="163"/>
      <c r="K278" s="8"/>
      <c r="L278" s="7"/>
      <c r="M278" s="8"/>
      <c r="N278" s="9"/>
      <c r="O278" s="10"/>
      <c r="P278" s="10"/>
      <c r="Q278" s="163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3.5" customHeight="1">
      <c r="A279" s="74"/>
      <c r="B279" s="74"/>
      <c r="C279" s="176"/>
      <c r="D279" s="177"/>
      <c r="E279" s="177"/>
      <c r="F279" s="177"/>
      <c r="G279" s="8"/>
      <c r="H279" s="175"/>
      <c r="I279" s="163"/>
      <c r="J279" s="163"/>
      <c r="K279" s="8"/>
      <c r="L279" s="7"/>
      <c r="M279" s="8"/>
      <c r="N279" s="9"/>
      <c r="O279" s="10"/>
      <c r="P279" s="10"/>
      <c r="Q279" s="163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3.5" customHeight="1">
      <c r="A280" s="74"/>
      <c r="B280" s="74"/>
      <c r="C280" s="176"/>
      <c r="D280" s="177"/>
      <c r="E280" s="177"/>
      <c r="F280" s="177"/>
      <c r="G280" s="8"/>
      <c r="H280" s="175"/>
      <c r="I280" s="163"/>
      <c r="J280" s="163"/>
      <c r="K280" s="8"/>
      <c r="L280" s="7"/>
      <c r="M280" s="8"/>
      <c r="N280" s="9"/>
      <c r="O280" s="10"/>
      <c r="P280" s="10"/>
      <c r="Q280" s="163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3.5" customHeight="1">
      <c r="A281" s="74"/>
      <c r="B281" s="74"/>
      <c r="C281" s="176"/>
      <c r="D281" s="177"/>
      <c r="E281" s="177"/>
      <c r="F281" s="177"/>
      <c r="G281" s="8"/>
      <c r="H281" s="175"/>
      <c r="I281" s="163"/>
      <c r="J281" s="163"/>
      <c r="K281" s="8"/>
      <c r="L281" s="7"/>
      <c r="M281" s="8"/>
      <c r="N281" s="9"/>
      <c r="O281" s="10"/>
      <c r="P281" s="10"/>
      <c r="Q281" s="163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3.5" customHeight="1">
      <c r="A282" s="74"/>
      <c r="B282" s="74"/>
      <c r="C282" s="176"/>
      <c r="D282" s="177"/>
      <c r="E282" s="177"/>
      <c r="F282" s="177"/>
      <c r="G282" s="8"/>
      <c r="H282" s="175"/>
      <c r="I282" s="163"/>
      <c r="J282" s="163"/>
      <c r="K282" s="8"/>
      <c r="L282" s="7"/>
      <c r="M282" s="8"/>
      <c r="N282" s="9"/>
      <c r="O282" s="10"/>
      <c r="P282" s="10"/>
      <c r="Q282" s="163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3.5" customHeight="1">
      <c r="A283" s="74"/>
      <c r="B283" s="74"/>
      <c r="C283" s="176"/>
      <c r="D283" s="177"/>
      <c r="E283" s="177"/>
      <c r="F283" s="177"/>
      <c r="G283" s="8"/>
      <c r="H283" s="175"/>
      <c r="I283" s="163"/>
      <c r="J283" s="163"/>
      <c r="K283" s="8"/>
      <c r="L283" s="7"/>
      <c r="M283" s="8"/>
      <c r="N283" s="9"/>
      <c r="O283" s="10"/>
      <c r="P283" s="10"/>
      <c r="Q283" s="163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3.5" customHeight="1">
      <c r="A284" s="74"/>
      <c r="B284" s="74"/>
      <c r="C284" s="176"/>
      <c r="D284" s="177"/>
      <c r="E284" s="177"/>
      <c r="F284" s="177"/>
      <c r="G284" s="8"/>
      <c r="H284" s="175"/>
      <c r="I284" s="163"/>
      <c r="J284" s="163"/>
      <c r="K284" s="8"/>
      <c r="L284" s="7"/>
      <c r="M284" s="8"/>
      <c r="N284" s="9"/>
      <c r="O284" s="10"/>
      <c r="P284" s="10"/>
      <c r="Q284" s="163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3.5" customHeight="1">
      <c r="A285" s="74"/>
      <c r="B285" s="74"/>
      <c r="C285" s="176"/>
      <c r="D285" s="177"/>
      <c r="E285" s="177"/>
      <c r="F285" s="177"/>
      <c r="G285" s="8"/>
      <c r="H285" s="175"/>
      <c r="I285" s="163"/>
      <c r="J285" s="163"/>
      <c r="K285" s="8"/>
      <c r="L285" s="7"/>
      <c r="M285" s="8"/>
      <c r="N285" s="9"/>
      <c r="O285" s="10"/>
      <c r="P285" s="10"/>
      <c r="Q285" s="163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3.5" customHeight="1">
      <c r="A286" s="74"/>
      <c r="B286" s="74"/>
      <c r="C286" s="176"/>
      <c r="D286" s="177"/>
      <c r="E286" s="177"/>
      <c r="F286" s="177"/>
      <c r="G286" s="8"/>
      <c r="H286" s="175"/>
      <c r="I286" s="163"/>
      <c r="J286" s="163"/>
      <c r="K286" s="8"/>
      <c r="L286" s="7"/>
      <c r="M286" s="8"/>
      <c r="N286" s="9"/>
      <c r="O286" s="10"/>
      <c r="P286" s="10"/>
      <c r="Q286" s="163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3.5" customHeight="1">
      <c r="A287" s="74"/>
      <c r="B287" s="74"/>
      <c r="C287" s="176"/>
      <c r="D287" s="177"/>
      <c r="E287" s="177"/>
      <c r="F287" s="177"/>
      <c r="G287" s="8"/>
      <c r="H287" s="175"/>
      <c r="I287" s="163"/>
      <c r="J287" s="163"/>
      <c r="K287" s="8"/>
      <c r="L287" s="7"/>
      <c r="M287" s="8"/>
      <c r="N287" s="9"/>
      <c r="O287" s="10"/>
      <c r="P287" s="10"/>
      <c r="Q287" s="163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3.5" customHeight="1">
      <c r="A288" s="74"/>
      <c r="B288" s="74"/>
      <c r="C288" s="176"/>
      <c r="D288" s="177"/>
      <c r="E288" s="177"/>
      <c r="F288" s="177"/>
      <c r="G288" s="8"/>
      <c r="H288" s="175"/>
      <c r="I288" s="163"/>
      <c r="J288" s="163"/>
      <c r="K288" s="8"/>
      <c r="L288" s="7"/>
      <c r="M288" s="8"/>
      <c r="N288" s="9"/>
      <c r="O288" s="10"/>
      <c r="P288" s="10"/>
      <c r="Q288" s="163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3.5" customHeight="1">
      <c r="A289" s="74"/>
      <c r="B289" s="74"/>
      <c r="C289" s="176"/>
      <c r="D289" s="177"/>
      <c r="E289" s="177"/>
      <c r="F289" s="177"/>
      <c r="G289" s="8"/>
      <c r="H289" s="175"/>
      <c r="I289" s="163"/>
      <c r="J289" s="163"/>
      <c r="K289" s="8"/>
      <c r="L289" s="7"/>
      <c r="M289" s="8"/>
      <c r="N289" s="9"/>
      <c r="O289" s="10"/>
      <c r="P289" s="10"/>
      <c r="Q289" s="163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3.5" customHeight="1">
      <c r="A290" s="74"/>
      <c r="B290" s="74"/>
      <c r="C290" s="176"/>
      <c r="D290" s="177"/>
      <c r="E290" s="177"/>
      <c r="F290" s="177"/>
      <c r="G290" s="8"/>
      <c r="H290" s="175"/>
      <c r="I290" s="163"/>
      <c r="J290" s="163"/>
      <c r="K290" s="8"/>
      <c r="L290" s="7"/>
      <c r="M290" s="8"/>
      <c r="N290" s="9"/>
      <c r="O290" s="10"/>
      <c r="P290" s="10"/>
      <c r="Q290" s="163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3.5" customHeight="1">
      <c r="A291" s="74"/>
      <c r="B291" s="74"/>
      <c r="C291" s="176"/>
      <c r="D291" s="177"/>
      <c r="E291" s="177"/>
      <c r="F291" s="177"/>
      <c r="G291" s="8"/>
      <c r="H291" s="175"/>
      <c r="I291" s="163"/>
      <c r="J291" s="163"/>
      <c r="K291" s="8"/>
      <c r="L291" s="7"/>
      <c r="M291" s="8"/>
      <c r="N291" s="9"/>
      <c r="O291" s="10"/>
      <c r="P291" s="10"/>
      <c r="Q291" s="163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3.5" customHeight="1">
      <c r="A292" s="74"/>
      <c r="B292" s="74"/>
      <c r="C292" s="176"/>
      <c r="D292" s="177"/>
      <c r="E292" s="177"/>
      <c r="F292" s="177"/>
      <c r="G292" s="8"/>
      <c r="H292" s="175"/>
      <c r="I292" s="163"/>
      <c r="J292" s="163"/>
      <c r="K292" s="8"/>
      <c r="L292" s="7"/>
      <c r="M292" s="8"/>
      <c r="N292" s="9"/>
      <c r="O292" s="10"/>
      <c r="P292" s="10"/>
      <c r="Q292" s="163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3.5" customHeight="1">
      <c r="A293" s="74"/>
      <c r="B293" s="74"/>
      <c r="C293" s="176"/>
      <c r="D293" s="177"/>
      <c r="E293" s="177"/>
      <c r="F293" s="177"/>
      <c r="G293" s="8"/>
      <c r="H293" s="175"/>
      <c r="I293" s="163"/>
      <c r="J293" s="163"/>
      <c r="K293" s="8"/>
      <c r="L293" s="7"/>
      <c r="M293" s="8"/>
      <c r="N293" s="9"/>
      <c r="O293" s="10"/>
      <c r="P293" s="10"/>
      <c r="Q293" s="163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3.5" customHeight="1">
      <c r="A294" s="74"/>
      <c r="B294" s="74"/>
      <c r="C294" s="176"/>
      <c r="D294" s="177"/>
      <c r="E294" s="177"/>
      <c r="F294" s="177"/>
      <c r="G294" s="8"/>
      <c r="H294" s="175"/>
      <c r="I294" s="163"/>
      <c r="J294" s="163"/>
      <c r="K294" s="8"/>
      <c r="L294" s="7"/>
      <c r="M294" s="8"/>
      <c r="N294" s="9"/>
      <c r="O294" s="10"/>
      <c r="P294" s="10"/>
      <c r="Q294" s="163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3.5" customHeight="1">
      <c r="A295" s="74"/>
      <c r="B295" s="74"/>
      <c r="C295" s="176"/>
      <c r="D295" s="177"/>
      <c r="E295" s="177"/>
      <c r="F295" s="177"/>
      <c r="G295" s="8"/>
      <c r="H295" s="175"/>
      <c r="I295" s="163"/>
      <c r="J295" s="163"/>
      <c r="K295" s="8"/>
      <c r="L295" s="7"/>
      <c r="M295" s="8"/>
      <c r="N295" s="9"/>
      <c r="O295" s="10"/>
      <c r="P295" s="10"/>
      <c r="Q295" s="163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3.5" customHeight="1">
      <c r="A296" s="74"/>
      <c r="B296" s="74"/>
      <c r="C296" s="176"/>
      <c r="D296" s="177"/>
      <c r="E296" s="177"/>
      <c r="F296" s="177"/>
      <c r="G296" s="8"/>
      <c r="H296" s="175"/>
      <c r="I296" s="163"/>
      <c r="J296" s="163"/>
      <c r="K296" s="8"/>
      <c r="L296" s="7"/>
      <c r="M296" s="8"/>
      <c r="N296" s="9"/>
      <c r="O296" s="10"/>
      <c r="P296" s="10"/>
      <c r="Q296" s="163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3.5" customHeight="1">
      <c r="A297" s="74"/>
      <c r="B297" s="74"/>
      <c r="C297" s="176"/>
      <c r="D297" s="177"/>
      <c r="E297" s="177"/>
      <c r="F297" s="177"/>
      <c r="G297" s="8"/>
      <c r="H297" s="175"/>
      <c r="I297" s="163"/>
      <c r="J297" s="163"/>
      <c r="K297" s="8"/>
      <c r="L297" s="7"/>
      <c r="M297" s="8"/>
      <c r="N297" s="9"/>
      <c r="O297" s="10"/>
      <c r="P297" s="10"/>
      <c r="Q297" s="163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3.5" customHeight="1">
      <c r="A298" s="74"/>
      <c r="B298" s="74"/>
      <c r="C298" s="176"/>
      <c r="D298" s="177"/>
      <c r="E298" s="177"/>
      <c r="F298" s="177"/>
      <c r="G298" s="8"/>
      <c r="H298" s="175"/>
      <c r="I298" s="163"/>
      <c r="J298" s="163"/>
      <c r="K298" s="8"/>
      <c r="L298" s="7"/>
      <c r="M298" s="8"/>
      <c r="N298" s="9"/>
      <c r="O298" s="10"/>
      <c r="P298" s="10"/>
      <c r="Q298" s="163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3.5" customHeight="1">
      <c r="A299" s="74"/>
      <c r="B299" s="74"/>
      <c r="C299" s="176"/>
      <c r="D299" s="177"/>
      <c r="E299" s="177"/>
      <c r="F299" s="177"/>
      <c r="G299" s="8"/>
      <c r="H299" s="175"/>
      <c r="I299" s="163"/>
      <c r="J299" s="163"/>
      <c r="K299" s="8"/>
      <c r="L299" s="7"/>
      <c r="M299" s="8"/>
      <c r="N299" s="9"/>
      <c r="O299" s="10"/>
      <c r="P299" s="10"/>
      <c r="Q299" s="163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3.5" customHeight="1">
      <c r="A300" s="74"/>
      <c r="B300" s="74"/>
      <c r="C300" s="176"/>
      <c r="D300" s="177"/>
      <c r="E300" s="177"/>
      <c r="F300" s="177"/>
      <c r="G300" s="8"/>
      <c r="H300" s="175"/>
      <c r="I300" s="163"/>
      <c r="J300" s="163"/>
      <c r="K300" s="8"/>
      <c r="L300" s="7"/>
      <c r="M300" s="8"/>
      <c r="N300" s="9"/>
      <c r="O300" s="10"/>
      <c r="P300" s="10"/>
      <c r="Q300" s="163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3.5" customHeight="1">
      <c r="A301" s="74"/>
      <c r="B301" s="74"/>
      <c r="C301" s="176"/>
      <c r="D301" s="177"/>
      <c r="E301" s="177"/>
      <c r="F301" s="177"/>
      <c r="G301" s="8"/>
      <c r="H301" s="175"/>
      <c r="I301" s="163"/>
      <c r="J301" s="163"/>
      <c r="K301" s="8"/>
      <c r="L301" s="7"/>
      <c r="M301" s="8"/>
      <c r="N301" s="9"/>
      <c r="O301" s="10"/>
      <c r="P301" s="10"/>
      <c r="Q301" s="163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3.5" customHeight="1">
      <c r="A302" s="74"/>
      <c r="B302" s="74"/>
      <c r="C302" s="176"/>
      <c r="D302" s="177"/>
      <c r="E302" s="177"/>
      <c r="F302" s="177"/>
      <c r="G302" s="8"/>
      <c r="H302" s="175"/>
      <c r="I302" s="163"/>
      <c r="J302" s="163"/>
      <c r="K302" s="8"/>
      <c r="L302" s="7"/>
      <c r="M302" s="8"/>
      <c r="N302" s="9"/>
      <c r="O302" s="10"/>
      <c r="P302" s="10"/>
      <c r="Q302" s="163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3.5" customHeight="1">
      <c r="A303" s="74"/>
      <c r="B303" s="74"/>
      <c r="C303" s="176"/>
      <c r="D303" s="177"/>
      <c r="E303" s="177"/>
      <c r="F303" s="177"/>
      <c r="G303" s="8"/>
      <c r="H303" s="175"/>
      <c r="I303" s="163"/>
      <c r="J303" s="163"/>
      <c r="K303" s="8"/>
      <c r="L303" s="7"/>
      <c r="M303" s="8"/>
      <c r="N303" s="9"/>
      <c r="O303" s="10"/>
      <c r="P303" s="10"/>
      <c r="Q303" s="163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3.5" customHeight="1">
      <c r="A304" s="74"/>
      <c r="B304" s="74"/>
      <c r="C304" s="176"/>
      <c r="D304" s="177"/>
      <c r="E304" s="177"/>
      <c r="F304" s="177"/>
      <c r="G304" s="8"/>
      <c r="H304" s="175"/>
      <c r="I304" s="163"/>
      <c r="J304" s="163"/>
      <c r="K304" s="8"/>
      <c r="L304" s="7"/>
      <c r="M304" s="8"/>
      <c r="N304" s="9"/>
      <c r="O304" s="10"/>
      <c r="P304" s="10"/>
      <c r="Q304" s="163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3.5" customHeight="1">
      <c r="A305" s="74"/>
      <c r="B305" s="74"/>
      <c r="C305" s="176"/>
      <c r="D305" s="177"/>
      <c r="E305" s="177"/>
      <c r="F305" s="177"/>
      <c r="G305" s="8"/>
      <c r="H305" s="175"/>
      <c r="I305" s="163"/>
      <c r="J305" s="163"/>
      <c r="K305" s="8"/>
      <c r="L305" s="7"/>
      <c r="M305" s="8"/>
      <c r="N305" s="9"/>
      <c r="O305" s="10"/>
      <c r="P305" s="10"/>
      <c r="Q305" s="163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3.5" customHeight="1">
      <c r="A306" s="74"/>
      <c r="B306" s="74"/>
      <c r="C306" s="176"/>
      <c r="D306" s="177"/>
      <c r="E306" s="177"/>
      <c r="F306" s="177"/>
      <c r="G306" s="8"/>
      <c r="H306" s="175"/>
      <c r="I306" s="163"/>
      <c r="J306" s="163"/>
      <c r="K306" s="8"/>
      <c r="L306" s="7"/>
      <c r="M306" s="8"/>
      <c r="N306" s="9"/>
      <c r="O306" s="10"/>
      <c r="P306" s="10"/>
      <c r="Q306" s="163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3.5" customHeight="1">
      <c r="A307" s="74"/>
      <c r="B307" s="74"/>
      <c r="C307" s="176"/>
      <c r="D307" s="177"/>
      <c r="E307" s="177"/>
      <c r="F307" s="177"/>
      <c r="G307" s="8"/>
      <c r="H307" s="175"/>
      <c r="I307" s="163"/>
      <c r="J307" s="163"/>
      <c r="K307" s="8"/>
      <c r="L307" s="7"/>
      <c r="M307" s="8"/>
      <c r="N307" s="9"/>
      <c r="O307" s="10"/>
      <c r="P307" s="10"/>
      <c r="Q307" s="163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3.5" customHeight="1">
      <c r="A308" s="74"/>
      <c r="B308" s="74"/>
      <c r="C308" s="176"/>
      <c r="D308" s="177"/>
      <c r="E308" s="177"/>
      <c r="F308" s="177"/>
      <c r="G308" s="8"/>
      <c r="H308" s="175"/>
      <c r="I308" s="163"/>
      <c r="J308" s="163"/>
      <c r="K308" s="8"/>
      <c r="L308" s="7"/>
      <c r="M308" s="8"/>
      <c r="N308" s="9"/>
      <c r="O308" s="10"/>
      <c r="P308" s="10"/>
      <c r="Q308" s="163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3.5" customHeight="1">
      <c r="A309" s="74"/>
      <c r="B309" s="74"/>
      <c r="C309" s="176"/>
      <c r="D309" s="177"/>
      <c r="E309" s="177"/>
      <c r="F309" s="177"/>
      <c r="G309" s="8"/>
      <c r="H309" s="175"/>
      <c r="I309" s="163"/>
      <c r="J309" s="163"/>
      <c r="K309" s="8"/>
      <c r="L309" s="7"/>
      <c r="M309" s="8"/>
      <c r="N309" s="9"/>
      <c r="O309" s="10"/>
      <c r="P309" s="10"/>
      <c r="Q309" s="163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3.5" customHeight="1">
      <c r="A310" s="74"/>
      <c r="B310" s="74"/>
      <c r="C310" s="176"/>
      <c r="D310" s="177"/>
      <c r="E310" s="177"/>
      <c r="F310" s="177"/>
      <c r="G310" s="8"/>
      <c r="H310" s="175"/>
      <c r="I310" s="163"/>
      <c r="J310" s="163"/>
      <c r="K310" s="8"/>
      <c r="L310" s="7"/>
      <c r="M310" s="8"/>
      <c r="N310" s="9"/>
      <c r="O310" s="10"/>
      <c r="P310" s="10"/>
      <c r="Q310" s="163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I1"/>
    <mergeCell ref="C2:I2"/>
    <mergeCell ref="C3:I3"/>
    <mergeCell ref="C4:I4"/>
    <mergeCell ref="C5:I5"/>
    <mergeCell ref="C6:I6"/>
    <mergeCell ref="C7:I7"/>
    <mergeCell ref="B17:I17"/>
    <mergeCell ref="K17:Q17"/>
    <mergeCell ref="C8:I8"/>
    <mergeCell ref="C9:I9"/>
    <mergeCell ref="C10:I10"/>
    <mergeCell ref="C11:I11"/>
    <mergeCell ref="C12:I12"/>
    <mergeCell ref="C13:I13"/>
    <mergeCell ref="C14:I14"/>
  </mergeCells>
  <conditionalFormatting sqref="O58:P58">
    <cfRule type="cellIs" dxfId="0" priority="1" stopIfTrue="1" operator="between">
      <formula>$J58*0.8</formula>
      <formula>$J58</formula>
    </cfRule>
  </conditionalFormatting>
  <conditionalFormatting sqref="O58:P58">
    <cfRule type="cellIs" dxfId="1" priority="2" stopIfTrue="1" operator="greaterThan">
      <formula>$J58</formula>
    </cfRule>
  </conditionalFormatting>
  <conditionalFormatting sqref="O70:P70">
    <cfRule type="cellIs" dxfId="0" priority="3" stopIfTrue="1" operator="between">
      <formula>$J70*0.8</formula>
      <formula>$J70</formula>
    </cfRule>
  </conditionalFormatting>
  <conditionalFormatting sqref="O70:P70">
    <cfRule type="cellIs" dxfId="1" priority="4" stopIfTrue="1" operator="greaterThan">
      <formula>$J70</formula>
    </cfRule>
  </conditionalFormatting>
  <conditionalFormatting sqref="O82:P82">
    <cfRule type="cellIs" dxfId="0" priority="5" stopIfTrue="1" operator="between">
      <formula>$J82*0.8</formula>
      <formula>$J82</formula>
    </cfRule>
  </conditionalFormatting>
  <conditionalFormatting sqref="O82:P82">
    <cfRule type="cellIs" dxfId="1" priority="6" stopIfTrue="1" operator="greaterThan">
      <formula>$J82</formula>
    </cfRule>
  </conditionalFormatting>
  <conditionalFormatting sqref="O94:P94">
    <cfRule type="cellIs" dxfId="0" priority="7" stopIfTrue="1" operator="between">
      <formula>$J94*0.8</formula>
      <formula>$J94</formula>
    </cfRule>
  </conditionalFormatting>
  <conditionalFormatting sqref="O94:P94">
    <cfRule type="cellIs" dxfId="1" priority="8" stopIfTrue="1" operator="greaterThan">
      <formula>$J94</formula>
    </cfRule>
  </conditionalFormatting>
  <conditionalFormatting sqref="N108">
    <cfRule type="cellIs" dxfId="1" priority="9" operator="greaterThan">
      <formula>$M$108</formula>
    </cfRule>
  </conditionalFormatting>
  <conditionalFormatting sqref="N108">
    <cfRule type="cellIs" dxfId="2" priority="10" operator="lessThan">
      <formula>$M$108</formula>
    </cfRule>
  </conditionalFormatting>
  <conditionalFormatting sqref="N109">
    <cfRule type="cellIs" dxfId="1" priority="11" operator="lessThan">
      <formula>$M$109</formula>
    </cfRule>
  </conditionalFormatting>
  <conditionalFormatting sqref="N109">
    <cfRule type="cellIs" dxfId="2" priority="12" operator="greaterThan">
      <formula>$M$109</formula>
    </cfRule>
  </conditionalFormatting>
  <conditionalFormatting sqref="M110:N110">
    <cfRule type="cellIs" dxfId="3" priority="13" operator="greaterThan">
      <formula>"50%"</formula>
    </cfRule>
  </conditionalFormatting>
  <conditionalFormatting sqref="M110:N110">
    <cfRule type="cellIs" dxfId="4" priority="14" operator="lessThan">
      <formula>"50%"</formula>
    </cfRule>
  </conditionalFormatting>
  <printOptions/>
  <pageMargins bottom="1.0" footer="0.0" header="0.0" left="0.75" right="0.75" top="1.0"/>
  <pageSetup paperSize="9" orientation="portrait"/>
  <drawing r:id="rId1"/>
</worksheet>
</file>